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19440" windowHeight="5055"/>
  </bookViews>
  <sheets>
    <sheet name="Schedule" sheetId="2" r:id="rId1"/>
    <sheet name="Schedule wJK" sheetId="4" r:id="rId2"/>
    <sheet name="Sheet3" sheetId="3" r:id="rId3"/>
  </sheets>
  <definedNames>
    <definedName name="_xlnm._FilterDatabase" localSheetId="0" hidden="1">Schedule!$A$3:$AE$27</definedName>
    <definedName name="_xlnm._FilterDatabase" localSheetId="1" hidden="1">'Schedule wJK'!$A$3:$AE$17</definedName>
    <definedName name="_xlnm._FilterDatabase" localSheetId="2" hidden="1">Sheet3!$A$1:$AB$65</definedName>
    <definedName name="BR" localSheetId="1">'Schedule wJK'!$AE$1</definedName>
    <definedName name="BR">Schedule!$AE$1</definedName>
  </definedNames>
  <calcPr calcId="125725"/>
</workbook>
</file>

<file path=xl/calcChain.xml><?xml version="1.0" encoding="utf-8"?>
<calcChain xmlns="http://schemas.openxmlformats.org/spreadsheetml/2006/main">
  <c r="AE30" i="4"/>
  <c r="AD30"/>
  <c r="AC30"/>
  <c r="AB30"/>
  <c r="AA30"/>
  <c r="Z30"/>
  <c r="Y30"/>
  <c r="X30"/>
  <c r="W30"/>
  <c r="V30"/>
  <c r="U30"/>
  <c r="T30"/>
  <c r="S30"/>
  <c r="R30"/>
  <c r="Q30"/>
  <c r="P30"/>
  <c r="AE26"/>
  <c r="AD26"/>
  <c r="AC26"/>
  <c r="AB26"/>
  <c r="AA26"/>
  <c r="Z26"/>
  <c r="Y26"/>
  <c r="X26"/>
  <c r="W26"/>
  <c r="V26"/>
  <c r="U26"/>
  <c r="T26"/>
  <c r="S26"/>
  <c r="R26"/>
  <c r="Q26"/>
  <c r="P26"/>
  <c r="N22"/>
  <c r="M22"/>
  <c r="L22"/>
  <c r="O22" s="1"/>
  <c r="N21"/>
  <c r="M21"/>
  <c r="L21"/>
  <c r="O21" s="1"/>
  <c r="N20"/>
  <c r="M20"/>
  <c r="L20"/>
  <c r="O20" s="1"/>
  <c r="N19"/>
  <c r="M19"/>
  <c r="L19"/>
  <c r="O19" s="1"/>
  <c r="N18"/>
  <c r="M18"/>
  <c r="L18"/>
  <c r="O18" s="1"/>
  <c r="N17"/>
  <c r="M17"/>
  <c r="L17"/>
  <c r="O17" s="1"/>
  <c r="N16"/>
  <c r="M16"/>
  <c r="L16"/>
  <c r="O16" s="1"/>
  <c r="N15"/>
  <c r="M15"/>
  <c r="L15"/>
  <c r="O15" s="1"/>
  <c r="N14"/>
  <c r="M14"/>
  <c r="L14"/>
  <c r="O14" s="1"/>
  <c r="N13"/>
  <c r="M13"/>
  <c r="L13"/>
  <c r="O13" s="1"/>
  <c r="N12"/>
  <c r="M12"/>
  <c r="L12"/>
  <c r="O12" s="1"/>
  <c r="N11"/>
  <c r="M11"/>
  <c r="L11"/>
  <c r="O11" s="1"/>
  <c r="N10"/>
  <c r="M10"/>
  <c r="L10"/>
  <c r="O10" s="1"/>
  <c r="N9"/>
  <c r="M9"/>
  <c r="L9"/>
  <c r="O9" s="1"/>
  <c r="N8"/>
  <c r="M8"/>
  <c r="L8"/>
  <c r="O8" s="1"/>
  <c r="N7"/>
  <c r="M7"/>
  <c r="L7"/>
  <c r="O7" s="1"/>
  <c r="N6"/>
  <c r="M6"/>
  <c r="L6"/>
  <c r="O6" s="1"/>
  <c r="N5"/>
  <c r="M5"/>
  <c r="L5"/>
  <c r="O5" s="1"/>
  <c r="N4"/>
  <c r="M4"/>
  <c r="L4"/>
  <c r="AE37" i="2"/>
  <c r="AD37"/>
  <c r="AC37"/>
  <c r="AB37"/>
  <c r="AA37"/>
  <c r="Z37"/>
  <c r="Y37"/>
  <c r="X37"/>
  <c r="W37"/>
  <c r="V37"/>
  <c r="U37"/>
  <c r="T37"/>
  <c r="S37"/>
  <c r="R37"/>
  <c r="Q37"/>
  <c r="P37"/>
  <c r="N14"/>
  <c r="N13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5"/>
  <c r="N4"/>
  <c r="M33"/>
  <c r="L33"/>
  <c r="O33" s="1"/>
  <c r="M32"/>
  <c r="L32"/>
  <c r="O32" s="1"/>
  <c r="M31"/>
  <c r="L31"/>
  <c r="O31" s="1"/>
  <c r="M30"/>
  <c r="L30"/>
  <c r="O30" s="1"/>
  <c r="M29"/>
  <c r="L29"/>
  <c r="O29" s="1"/>
  <c r="M28"/>
  <c r="L28"/>
  <c r="O28" s="1"/>
  <c r="M27"/>
  <c r="L27"/>
  <c r="O27" s="1"/>
  <c r="M26"/>
  <c r="L26"/>
  <c r="O26" s="1"/>
  <c r="M25"/>
  <c r="L25"/>
  <c r="O25" s="1"/>
  <c r="M24"/>
  <c r="L24"/>
  <c r="O24" s="1"/>
  <c r="M23"/>
  <c r="L23"/>
  <c r="O23" s="1"/>
  <c r="M22"/>
  <c r="L22"/>
  <c r="O22" s="1"/>
  <c r="M21"/>
  <c r="L21"/>
  <c r="O21" s="1"/>
  <c r="M20"/>
  <c r="L20"/>
  <c r="O20" s="1"/>
  <c r="M19"/>
  <c r="L19"/>
  <c r="O19" s="1"/>
  <c r="M18"/>
  <c r="L18"/>
  <c r="O18" s="1"/>
  <c r="M17"/>
  <c r="L17"/>
  <c r="M16"/>
  <c r="L16"/>
  <c r="M15"/>
  <c r="L15"/>
  <c r="M14"/>
  <c r="L14"/>
  <c r="M13"/>
  <c r="L13"/>
  <c r="M5"/>
  <c r="L5"/>
  <c r="M4"/>
  <c r="L4"/>
  <c r="AE41"/>
  <c r="AD41"/>
  <c r="AC41"/>
  <c r="AB41"/>
  <c r="AA41"/>
  <c r="Z41"/>
  <c r="Y41"/>
  <c r="X41"/>
  <c r="V41"/>
  <c r="U41"/>
  <c r="T41"/>
  <c r="S41"/>
  <c r="R41"/>
  <c r="Q41"/>
  <c r="P41"/>
  <c r="W41"/>
  <c r="M11"/>
  <c r="M10"/>
  <c r="M9"/>
  <c r="M8"/>
  <c r="M7"/>
  <c r="M6"/>
  <c r="M12"/>
  <c r="N12"/>
  <c r="L12"/>
  <c r="L11"/>
  <c r="N11"/>
  <c r="L6"/>
  <c r="L7"/>
  <c r="O7" s="1"/>
  <c r="L8"/>
  <c r="L9"/>
  <c r="N7"/>
  <c r="N6"/>
  <c r="L10"/>
  <c r="N10"/>
  <c r="N9"/>
  <c r="N8"/>
  <c r="M26" i="4" l="1"/>
  <c r="L26"/>
  <c r="L29" s="1"/>
  <c r="S29" s="1"/>
  <c r="O10" i="2"/>
  <c r="O9"/>
  <c r="O12"/>
  <c r="O4"/>
  <c r="O15"/>
  <c r="O17"/>
  <c r="O14"/>
  <c r="O11"/>
  <c r="O5"/>
  <c r="O16"/>
  <c r="O13"/>
  <c r="Q29" i="4"/>
  <c r="P29"/>
  <c r="O4"/>
  <c r="O26" s="1"/>
  <c r="O8" i="2"/>
  <c r="M37"/>
  <c r="L37"/>
  <c r="O6"/>
  <c r="X29" i="4" l="1"/>
  <c r="Y29"/>
  <c r="Y1" s="1"/>
  <c r="AB29"/>
  <c r="T29"/>
  <c r="T31" s="1"/>
  <c r="AC29"/>
  <c r="U29"/>
  <c r="U31" s="1"/>
  <c r="AD29"/>
  <c r="AD1" s="1"/>
  <c r="Z29"/>
  <c r="Z1" s="1"/>
  <c r="V29"/>
  <c r="V1" s="1"/>
  <c r="R29"/>
  <c r="R31" s="1"/>
  <c r="AE29"/>
  <c r="AE1" s="1"/>
  <c r="AA29"/>
  <c r="AA1" s="1"/>
  <c r="W29"/>
  <c r="W1" s="1"/>
  <c r="O37" i="2"/>
  <c r="AB31" i="4"/>
  <c r="AB1"/>
  <c r="X31"/>
  <c r="X1"/>
  <c r="P31"/>
  <c r="P1"/>
  <c r="AC31"/>
  <c r="AC1"/>
  <c r="Y31"/>
  <c r="U1"/>
  <c r="Q31"/>
  <c r="Q1"/>
  <c r="AD31"/>
  <c r="Z31"/>
  <c r="V31"/>
  <c r="R1"/>
  <c r="AE31"/>
  <c r="AA31"/>
  <c r="W31"/>
  <c r="S31"/>
  <c r="S1"/>
  <c r="L40" i="2"/>
  <c r="R40" s="1"/>
  <c r="R1" s="1"/>
  <c r="Y40"/>
  <c r="Y42" s="1"/>
  <c r="T1" i="4" l="1"/>
  <c r="W40" i="2"/>
  <c r="W42" s="1"/>
  <c r="AC40"/>
  <c r="T40"/>
  <c r="T1" s="1"/>
  <c r="AB40"/>
  <c r="AB1" s="1"/>
  <c r="W1"/>
  <c r="AD40"/>
  <c r="P40"/>
  <c r="AE40"/>
  <c r="AE1" s="1"/>
  <c r="X40"/>
  <c r="X42" s="1"/>
  <c r="U40"/>
  <c r="U42" s="1"/>
  <c r="R42"/>
  <c r="Q40"/>
  <c r="S40"/>
  <c r="Z40"/>
  <c r="AA40"/>
  <c r="V40"/>
  <c r="Y1"/>
  <c r="AB42" l="1"/>
  <c r="AC1"/>
  <c r="AC42"/>
  <c r="T42"/>
  <c r="X1"/>
  <c r="AD1"/>
  <c r="AD42"/>
  <c r="P42"/>
  <c r="P1"/>
  <c r="AE42"/>
  <c r="U1"/>
  <c r="AA42"/>
  <c r="AA1"/>
  <c r="S42"/>
  <c r="S1"/>
  <c r="V42"/>
  <c r="V1"/>
  <c r="Z42"/>
  <c r="Z1"/>
  <c r="Q1"/>
  <c r="Q42"/>
</calcChain>
</file>

<file path=xl/sharedStrings.xml><?xml version="1.0" encoding="utf-8"?>
<sst xmlns="http://schemas.openxmlformats.org/spreadsheetml/2006/main" count="777" uniqueCount="80">
  <si>
    <t>DAY</t>
  </si>
  <si>
    <t>DATE</t>
  </si>
  <si>
    <t>VENUE</t>
  </si>
  <si>
    <t>E</t>
  </si>
  <si>
    <t>STATUS</t>
  </si>
  <si>
    <t>TIME</t>
  </si>
  <si>
    <t xml:space="preserve">EVENT </t>
  </si>
  <si>
    <t>Shift</t>
  </si>
  <si>
    <t>Type</t>
  </si>
  <si>
    <t>LS</t>
  </si>
  <si>
    <t>RM</t>
  </si>
  <si>
    <t>GR</t>
  </si>
  <si>
    <t>DH</t>
  </si>
  <si>
    <t>KT</t>
  </si>
  <si>
    <t>BR</t>
  </si>
  <si>
    <t>JR</t>
  </si>
  <si>
    <t>LA</t>
  </si>
  <si>
    <t>SW</t>
  </si>
  <si>
    <t>MS</t>
  </si>
  <si>
    <t>KS</t>
  </si>
  <si>
    <t>MC</t>
  </si>
  <si>
    <t>SM</t>
  </si>
  <si>
    <t>TM</t>
  </si>
  <si>
    <t>NH</t>
  </si>
  <si>
    <t>JF</t>
  </si>
  <si>
    <t>per Day</t>
  </si>
  <si>
    <t xml:space="preserve"> </t>
  </si>
  <si>
    <t>Tue</t>
  </si>
  <si>
    <t>J-K</t>
  </si>
  <si>
    <t>Sun</t>
  </si>
  <si>
    <t>Sat</t>
  </si>
  <si>
    <t>P&amp;G</t>
  </si>
  <si>
    <t>Fri</t>
  </si>
  <si>
    <t>Wed</t>
  </si>
  <si>
    <t>Thu</t>
  </si>
  <si>
    <t>N</t>
  </si>
  <si>
    <t>D</t>
  </si>
  <si>
    <t>M</t>
  </si>
  <si>
    <t>REMAIN</t>
  </si>
  <si>
    <t>MOD</t>
  </si>
  <si>
    <t>PERCENTAGE</t>
  </si>
  <si>
    <t>SUPERVISOR</t>
  </si>
  <si>
    <t>AVAIL</t>
  </si>
  <si>
    <t>S</t>
  </si>
  <si>
    <t>P</t>
  </si>
  <si>
    <t>L/P</t>
  </si>
  <si>
    <t>P/L</t>
  </si>
  <si>
    <t xml:space="preserve">P </t>
  </si>
  <si>
    <t>Mon</t>
  </si>
  <si>
    <t>L/P/L</t>
  </si>
  <si>
    <t>CPI - New Voices</t>
  </si>
  <si>
    <t>I Love Lucy</t>
  </si>
  <si>
    <t>5/3rd</t>
  </si>
  <si>
    <t>Tramp's New World</t>
  </si>
  <si>
    <t>Planet Dance Summer Sho</t>
  </si>
  <si>
    <t>Budig</t>
  </si>
  <si>
    <t>Recpetion for Photog exbt</t>
  </si>
  <si>
    <t>Area Choreographer Fest</t>
  </si>
  <si>
    <t>The I AM… Tour</t>
  </si>
  <si>
    <t>Sanger One Woman, One Story</t>
  </si>
  <si>
    <t>Morrissey</t>
  </si>
  <si>
    <t>Thur</t>
  </si>
  <si>
    <t>A</t>
  </si>
  <si>
    <t xml:space="preserve">   </t>
  </si>
  <si>
    <t xml:space="preserve">  </t>
  </si>
  <si>
    <t>O</t>
  </si>
  <si>
    <t>L</t>
  </si>
  <si>
    <t>B</t>
  </si>
  <si>
    <t>F</t>
  </si>
  <si>
    <t>5/3</t>
  </si>
  <si>
    <t>JK</t>
  </si>
  <si>
    <t>Vol Wk</t>
  </si>
  <si>
    <t>Usher Orientation</t>
  </si>
  <si>
    <t>Usher Inservice</t>
  </si>
  <si>
    <t>Motown - Opening Night</t>
  </si>
  <si>
    <t>New Voices -  The Shandys</t>
  </si>
  <si>
    <t>Motown</t>
  </si>
  <si>
    <t>Kaplan New Works - Meet the Artist</t>
  </si>
  <si>
    <t>Kaplan New Works- Dancing out of the box</t>
  </si>
  <si>
    <t>OFFF Cincinnati 2015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</si>
</sst>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0.0000"/>
  </numFmts>
  <fonts count="21"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name val="Arial"/>
      <family val="2"/>
    </font>
    <font>
      <sz val="8"/>
      <color theme="1"/>
      <name val="Arial"/>
      <family val="2"/>
    </font>
    <font>
      <b/>
      <sz val="8"/>
      <color theme="3"/>
      <name val="Arial"/>
      <family val="2"/>
    </font>
    <font>
      <b/>
      <sz val="8"/>
      <color rgb="FFFF0000"/>
      <name val="Arial"/>
      <family val="2"/>
    </font>
    <font>
      <b/>
      <sz val="8"/>
      <color rgb="FF00B050"/>
      <name val="Arial"/>
      <family val="2"/>
    </font>
    <font>
      <b/>
      <sz val="8"/>
      <color theme="1"/>
      <name val="Arial"/>
      <family val="2"/>
    </font>
    <font>
      <sz val="10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8"/>
      <color rgb="FF363636"/>
      <name val="Arial"/>
      <family val="2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color rgb="FF363636"/>
      <name val="Arial"/>
      <family val="2"/>
    </font>
    <font>
      <sz val="9"/>
      <color theme="1"/>
      <name val="Calibri"/>
      <family val="2"/>
      <scheme val="minor"/>
    </font>
    <font>
      <b/>
      <sz val="9"/>
      <color rgb="FFFF0000"/>
      <name val="Arial"/>
      <family val="2"/>
    </font>
    <font>
      <sz val="10"/>
      <color theme="1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2" fillId="0" borderId="0"/>
    <xf numFmtId="44" fontId="12" fillId="0" borderId="0" applyFont="0" applyFill="0" applyBorder="0" applyAlignment="0" applyProtection="0"/>
    <xf numFmtId="0" fontId="13" fillId="0" borderId="0"/>
  </cellStyleXfs>
  <cellXfs count="84">
    <xf numFmtId="0" fontId="0" fillId="0" borderId="0" xfId="0"/>
    <xf numFmtId="1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4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/>
    </xf>
    <xf numFmtId="18" fontId="3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left"/>
    </xf>
    <xf numFmtId="1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1" fontId="6" fillId="0" borderId="0" xfId="0" applyNumberFormat="1" applyFont="1" applyFill="1" applyAlignment="1">
      <alignment horizontal="center"/>
    </xf>
    <xf numFmtId="49" fontId="2" fillId="0" borderId="0" xfId="0" applyNumberFormat="1" applyFont="1" applyAlignment="1">
      <alignment horizontal="center"/>
    </xf>
    <xf numFmtId="0" fontId="3" fillId="0" borderId="0" xfId="0" applyFont="1" applyFill="1" applyBorder="1" applyAlignment="1">
      <alignment horizontal="center"/>
    </xf>
    <xf numFmtId="1" fontId="5" fillId="0" borderId="0" xfId="0" applyNumberFormat="1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left"/>
    </xf>
    <xf numFmtId="14" fontId="3" fillId="0" borderId="0" xfId="0" applyNumberFormat="1" applyFont="1" applyFill="1" applyAlignment="1">
      <alignment horizontal="center"/>
    </xf>
    <xf numFmtId="49" fontId="3" fillId="0" borderId="0" xfId="0" applyNumberFormat="1" applyFont="1" applyFill="1" applyAlignment="1">
      <alignment horizontal="left"/>
    </xf>
    <xf numFmtId="49" fontId="3" fillId="0" borderId="0" xfId="0" applyNumberFormat="1" applyFont="1"/>
    <xf numFmtId="49" fontId="3" fillId="0" borderId="0" xfId="0" applyNumberFormat="1" applyFont="1" applyFill="1" applyAlignment="1"/>
    <xf numFmtId="0" fontId="2" fillId="0" borderId="1" xfId="0" applyFont="1" applyBorder="1" applyAlignment="1">
      <alignment horizontal="center"/>
    </xf>
    <xf numFmtId="18" fontId="3" fillId="0" borderId="0" xfId="0" applyNumberFormat="1" applyFont="1" applyFill="1" applyAlignment="1">
      <alignment horizontal="center"/>
    </xf>
    <xf numFmtId="0" fontId="3" fillId="0" borderId="0" xfId="0" applyFont="1"/>
    <xf numFmtId="0" fontId="3" fillId="0" borderId="0" xfId="0" applyFont="1" applyFill="1"/>
    <xf numFmtId="0" fontId="8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7" fillId="0" borderId="1" xfId="0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" fontId="0" fillId="0" borderId="0" xfId="0" applyNumberFormat="1"/>
    <xf numFmtId="49" fontId="3" fillId="0" borderId="0" xfId="0" applyNumberFormat="1" applyFont="1" applyFill="1"/>
    <xf numFmtId="14" fontId="3" fillId="2" borderId="0" xfId="0" applyNumberFormat="1" applyFont="1" applyFill="1" applyAlignment="1">
      <alignment horizontal="center"/>
    </xf>
    <xf numFmtId="49" fontId="3" fillId="2" borderId="0" xfId="0" applyNumberFormat="1" applyFont="1" applyFill="1" applyAlignment="1">
      <alignment horizontal="left"/>
    </xf>
    <xf numFmtId="0" fontId="3" fillId="2" borderId="0" xfId="0" applyFont="1" applyFill="1" applyAlignment="1">
      <alignment horizontal="left"/>
    </xf>
    <xf numFmtId="18" fontId="3" fillId="2" borderId="0" xfId="0" applyNumberFormat="1" applyFont="1" applyFill="1" applyAlignment="1">
      <alignment horizontal="center"/>
    </xf>
    <xf numFmtId="49" fontId="3" fillId="2" borderId="0" xfId="0" applyNumberFormat="1" applyFont="1" applyFill="1"/>
    <xf numFmtId="0" fontId="3" fillId="2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" fontId="3" fillId="0" borderId="0" xfId="0" applyNumberFormat="1" applyFont="1" applyFill="1" applyAlignment="1">
      <alignment horizontal="center"/>
    </xf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16" fontId="7" fillId="0" borderId="1" xfId="0" quotePrefix="1" applyNumberFormat="1" applyFont="1" applyBorder="1" applyAlignment="1">
      <alignment horizontal="center"/>
    </xf>
    <xf numFmtId="0" fontId="14" fillId="0" borderId="0" xfId="0" applyFont="1" applyAlignment="1">
      <alignment horizontal="left"/>
    </xf>
    <xf numFmtId="49" fontId="14" fillId="0" borderId="0" xfId="0" applyNumberFormat="1" applyFont="1" applyAlignment="1">
      <alignment horizontal="center"/>
    </xf>
    <xf numFmtId="0" fontId="14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/>
    <xf numFmtId="0" fontId="17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" fontId="16" fillId="0" borderId="0" xfId="0" applyNumberFormat="1" applyFont="1"/>
    <xf numFmtId="1" fontId="16" fillId="0" borderId="0" xfId="0" applyNumberFormat="1" applyFont="1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Fill="1"/>
    <xf numFmtId="0" fontId="18" fillId="0" borderId="0" xfId="0" applyFont="1" applyFill="1" applyAlignment="1">
      <alignment horizontal="center"/>
    </xf>
    <xf numFmtId="14" fontId="3" fillId="0" borderId="0" xfId="0" applyNumberFormat="1" applyFont="1" applyAlignment="1">
      <alignment horizontal="left"/>
    </xf>
    <xf numFmtId="49" fontId="3" fillId="0" borderId="0" xfId="0" applyNumberFormat="1" applyFont="1" applyAlignment="1"/>
    <xf numFmtId="14" fontId="3" fillId="0" borderId="0" xfId="0" applyNumberFormat="1" applyFont="1" applyFill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" fontId="2" fillId="0" borderId="0" xfId="0" applyNumberFormat="1" applyFont="1" applyFill="1" applyAlignment="1">
      <alignment horizontal="center"/>
    </xf>
    <xf numFmtId="0" fontId="14" fillId="0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1" fontId="14" fillId="0" borderId="0" xfId="0" applyNumberFormat="1" applyFont="1" applyFill="1" applyAlignment="1">
      <alignment horizontal="center"/>
    </xf>
  </cellXfs>
  <cellStyles count="4">
    <cellStyle name="Currency 2" xfId="2"/>
    <cellStyle name="Normal" xfId="0" builtinId="0"/>
    <cellStyle name="Normal 2" xfId="3"/>
    <cellStyle name="Normal 3" xfId="1"/>
  </cellStyles>
  <dxfs count="1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E42"/>
  <sheetViews>
    <sheetView tabSelected="1" workbookViewId="0">
      <pane ySplit="3" topLeftCell="A4" activePane="bottomLeft" state="frozen"/>
      <selection pane="bottomLeft" activeCell="J1" sqref="J1:K1048576"/>
    </sheetView>
  </sheetViews>
  <sheetFormatPr defaultRowHeight="12.75"/>
  <cols>
    <col min="1" max="1" width="6.28515625" customWidth="1"/>
    <col min="2" max="2" width="9.42578125" bestFit="1" customWidth="1"/>
    <col min="3" max="3" width="6.5703125" customWidth="1"/>
    <col min="4" max="5" width="9.140625" hidden="1" customWidth="1"/>
    <col min="6" max="6" width="8.42578125" customWidth="1"/>
    <col min="7" max="7" width="31.42578125" customWidth="1"/>
    <col min="8" max="9" width="7" style="24" customWidth="1"/>
    <col min="10" max="11" width="7" style="24" hidden="1" customWidth="1"/>
    <col min="12" max="12" width="9.5703125" customWidth="1"/>
    <col min="13" max="13" width="7.85546875" customWidth="1"/>
    <col min="14" max="14" width="9.140625" customWidth="1"/>
    <col min="16" max="16" width="7" customWidth="1"/>
    <col min="17" max="17" width="7.42578125" customWidth="1"/>
    <col min="18" max="18" width="6.85546875" customWidth="1"/>
    <col min="19" max="19" width="7.140625" customWidth="1"/>
    <col min="20" max="20" width="7.42578125" customWidth="1"/>
    <col min="21" max="21" width="7.28515625" customWidth="1"/>
    <col min="22" max="22" width="7.140625" customWidth="1"/>
    <col min="23" max="24" width="6.85546875" customWidth="1"/>
    <col min="25" max="25" width="7" customWidth="1"/>
    <col min="26" max="26" width="6.5703125" customWidth="1"/>
    <col min="27" max="27" width="7.42578125" customWidth="1"/>
    <col min="28" max="29" width="6.85546875" customWidth="1"/>
    <col min="30" max="30" width="7.7109375" customWidth="1"/>
    <col min="31" max="31" width="7.28515625" customWidth="1"/>
  </cols>
  <sheetData>
    <row r="1" spans="1:31" s="63" customFormat="1" ht="12">
      <c r="G1" s="64" t="s">
        <v>41</v>
      </c>
      <c r="H1" s="65"/>
      <c r="I1" s="65"/>
      <c r="J1" s="65"/>
      <c r="K1" s="65"/>
      <c r="L1" s="66"/>
      <c r="P1" s="67" t="e">
        <f>P40-P41</f>
        <v>#DIV/0!</v>
      </c>
      <c r="Q1" s="67" t="e">
        <f t="shared" ref="Q1:AE1" si="0">Q40-Q41</f>
        <v>#DIV/0!</v>
      </c>
      <c r="R1" s="67" t="e">
        <f t="shared" si="0"/>
        <v>#DIV/0!</v>
      </c>
      <c r="S1" s="67" t="e">
        <f t="shared" si="0"/>
        <v>#DIV/0!</v>
      </c>
      <c r="T1" s="67" t="e">
        <f t="shared" si="0"/>
        <v>#DIV/0!</v>
      </c>
      <c r="U1" s="67" t="e">
        <f t="shared" si="0"/>
        <v>#DIV/0!</v>
      </c>
      <c r="V1" s="67" t="e">
        <f t="shared" si="0"/>
        <v>#DIV/0!</v>
      </c>
      <c r="W1" s="67" t="e">
        <f t="shared" si="0"/>
        <v>#DIV/0!</v>
      </c>
      <c r="X1" s="67" t="e">
        <f t="shared" si="0"/>
        <v>#DIV/0!</v>
      </c>
      <c r="Y1" s="67" t="e">
        <f t="shared" si="0"/>
        <v>#DIV/0!</v>
      </c>
      <c r="Z1" s="67" t="e">
        <f t="shared" si="0"/>
        <v>#DIV/0!</v>
      </c>
      <c r="AA1" s="67" t="e">
        <f t="shared" si="0"/>
        <v>#DIV/0!</v>
      </c>
      <c r="AB1" s="67" t="e">
        <f t="shared" si="0"/>
        <v>#DIV/0!</v>
      </c>
      <c r="AC1" s="67" t="e">
        <f t="shared" si="0"/>
        <v>#DIV/0!</v>
      </c>
      <c r="AD1" s="67" t="e">
        <f t="shared" si="0"/>
        <v>#DIV/0!</v>
      </c>
      <c r="AE1" s="67" t="e">
        <f t="shared" si="0"/>
        <v>#DIV/0!</v>
      </c>
    </row>
    <row r="2" spans="1:31">
      <c r="W2" t="s">
        <v>26</v>
      </c>
    </row>
    <row r="3" spans="1:31">
      <c r="A3" s="26" t="s">
        <v>0</v>
      </c>
      <c r="B3" s="27" t="s">
        <v>1</v>
      </c>
      <c r="C3" s="28" t="s">
        <v>2</v>
      </c>
      <c r="D3" s="3" t="s">
        <v>3</v>
      </c>
      <c r="E3" s="19" t="s">
        <v>4</v>
      </c>
      <c r="F3" s="33" t="s">
        <v>5</v>
      </c>
      <c r="G3" s="26" t="s">
        <v>6</v>
      </c>
      <c r="H3" s="40" t="s">
        <v>8</v>
      </c>
      <c r="I3" s="40" t="s">
        <v>39</v>
      </c>
      <c r="J3" s="40" t="s">
        <v>70</v>
      </c>
      <c r="K3" s="57" t="s">
        <v>69</v>
      </c>
      <c r="L3" s="41" t="s">
        <v>7</v>
      </c>
      <c r="M3" s="33" t="s">
        <v>25</v>
      </c>
      <c r="N3" s="41"/>
      <c r="O3" s="42" t="s">
        <v>38</v>
      </c>
      <c r="P3" s="33" t="s">
        <v>16</v>
      </c>
      <c r="Q3" s="33" t="s">
        <v>20</v>
      </c>
      <c r="R3" s="33" t="s">
        <v>24</v>
      </c>
      <c r="S3" s="33" t="s">
        <v>12</v>
      </c>
      <c r="T3" s="33" t="s">
        <v>23</v>
      </c>
      <c r="U3" s="33" t="s">
        <v>10</v>
      </c>
      <c r="V3" s="33" t="s">
        <v>21</v>
      </c>
      <c r="W3" s="33" t="s">
        <v>22</v>
      </c>
      <c r="X3" s="33" t="s">
        <v>14</v>
      </c>
      <c r="Y3" s="33" t="s">
        <v>11</v>
      </c>
      <c r="Z3" s="33" t="s">
        <v>15</v>
      </c>
      <c r="AA3" s="33" t="s">
        <v>19</v>
      </c>
      <c r="AB3" s="33" t="s">
        <v>9</v>
      </c>
      <c r="AC3" s="33" t="s">
        <v>18</v>
      </c>
      <c r="AD3" s="33" t="s">
        <v>13</v>
      </c>
      <c r="AE3" s="33" t="s">
        <v>17</v>
      </c>
    </row>
    <row r="4" spans="1:31">
      <c r="A4" s="4" t="s">
        <v>27</v>
      </c>
      <c r="B4" s="75">
        <v>42248</v>
      </c>
      <c r="C4" s="76" t="s">
        <v>71</v>
      </c>
      <c r="D4" s="3"/>
      <c r="E4" s="19"/>
      <c r="F4" s="7">
        <v>0.75</v>
      </c>
      <c r="G4" s="35" t="s">
        <v>72</v>
      </c>
      <c r="H4" s="56" t="s">
        <v>35</v>
      </c>
      <c r="I4" s="56"/>
      <c r="J4" s="56"/>
      <c r="K4" s="56"/>
      <c r="L4" s="54">
        <f>IF(C4="P&amp;G",4,1)+IF(I4="M",1,0)+J4+K4</f>
        <v>1</v>
      </c>
      <c r="M4" s="8">
        <f t="shared" ref="M4:M5" si="1">SUM(P4:AE4)+COUNTIF(P4:AE4,"A")</f>
        <v>0</v>
      </c>
      <c r="N4" s="23">
        <f t="shared" ref="N4:N6" si="2">COUNTIF(P4:AE4,"A")</f>
        <v>0</v>
      </c>
      <c r="O4" s="1">
        <f t="shared" ref="O4:O5" si="3">L4-N4</f>
        <v>1</v>
      </c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</row>
    <row r="5" spans="1:31" ht="11.25" customHeight="1">
      <c r="A5" s="4" t="s">
        <v>34</v>
      </c>
      <c r="B5" s="75">
        <v>42250</v>
      </c>
      <c r="C5" s="76" t="s">
        <v>31</v>
      </c>
      <c r="D5" s="3"/>
      <c r="E5" s="19"/>
      <c r="F5" s="7">
        <v>0.75</v>
      </c>
      <c r="G5" s="35" t="s">
        <v>73</v>
      </c>
      <c r="H5" s="56" t="s">
        <v>35</v>
      </c>
      <c r="I5" s="56"/>
      <c r="J5" s="56"/>
      <c r="K5" s="56"/>
      <c r="L5" s="54">
        <f>IF(C5="P&amp;G",4,1)+IF(I5="M",1,0)+J5+K5</f>
        <v>4</v>
      </c>
      <c r="M5" s="8">
        <f t="shared" si="1"/>
        <v>0</v>
      </c>
      <c r="N5" s="23">
        <f t="shared" si="2"/>
        <v>0</v>
      </c>
      <c r="O5" s="1">
        <f t="shared" si="3"/>
        <v>4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</row>
    <row r="6" spans="1:31" s="71" customFormat="1">
      <c r="A6" s="9" t="s">
        <v>27</v>
      </c>
      <c r="B6" s="77">
        <v>42255</v>
      </c>
      <c r="C6" s="76" t="s">
        <v>31</v>
      </c>
      <c r="D6" s="58"/>
      <c r="E6" s="59"/>
      <c r="F6" s="7">
        <v>0.8125</v>
      </c>
      <c r="G6" s="35" t="s">
        <v>74</v>
      </c>
      <c r="H6" s="61" t="s">
        <v>35</v>
      </c>
      <c r="I6" s="61"/>
      <c r="J6" s="61"/>
      <c r="K6" s="61"/>
      <c r="L6" s="54">
        <f>IF(C6="P&amp;G",4,1)+IF(I6="M",1,0)+J6+K6</f>
        <v>4</v>
      </c>
      <c r="M6" s="8">
        <f t="shared" ref="M6:M11" si="4">SUM(P6:AE6)+COUNTIF(P6:AE6,"A")</f>
        <v>0</v>
      </c>
      <c r="N6" s="23">
        <f t="shared" si="2"/>
        <v>0</v>
      </c>
      <c r="O6" s="1">
        <f>L6-N6</f>
        <v>4</v>
      </c>
      <c r="P6" s="68"/>
      <c r="Q6" s="60"/>
      <c r="R6" s="60"/>
      <c r="S6" s="68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</row>
    <row r="7" spans="1:31" s="35" customFormat="1" ht="11.25">
      <c r="A7" s="9" t="s">
        <v>27</v>
      </c>
      <c r="B7" s="77">
        <v>42255</v>
      </c>
      <c r="C7" s="76" t="s">
        <v>69</v>
      </c>
      <c r="D7" s="58"/>
      <c r="E7" s="59"/>
      <c r="F7" s="7">
        <v>0.8125</v>
      </c>
      <c r="G7" s="35" t="s">
        <v>75</v>
      </c>
      <c r="H7" s="2" t="s">
        <v>35</v>
      </c>
      <c r="I7" s="61"/>
      <c r="J7" s="61"/>
      <c r="K7" s="61"/>
      <c r="L7" s="54">
        <f>IF(C7="P&amp;G",4,1)+IF(I7="M",1,0)+J7+K7</f>
        <v>1</v>
      </c>
      <c r="M7" s="8">
        <f t="shared" si="4"/>
        <v>0</v>
      </c>
      <c r="N7" s="62">
        <f>COUNTIF(P7:AE7,"A")</f>
        <v>0</v>
      </c>
      <c r="O7" s="1">
        <f>L7-N7</f>
        <v>1</v>
      </c>
      <c r="P7" s="68"/>
      <c r="Q7" s="60"/>
      <c r="R7" s="60"/>
      <c r="S7" s="68"/>
      <c r="T7" s="2"/>
      <c r="U7" s="2"/>
      <c r="V7" s="2"/>
      <c r="W7" s="2"/>
      <c r="X7" s="60"/>
      <c r="Y7" s="60"/>
      <c r="Z7" s="60"/>
      <c r="AA7" s="60"/>
      <c r="AB7" s="60"/>
      <c r="AC7" s="60"/>
      <c r="AD7" s="60"/>
      <c r="AE7" s="60"/>
    </row>
    <row r="8" spans="1:31" s="73" customFormat="1">
      <c r="A8" s="4" t="s">
        <v>33</v>
      </c>
      <c r="B8" s="75">
        <v>42256</v>
      </c>
      <c r="C8" s="76" t="s">
        <v>31</v>
      </c>
      <c r="F8" s="7">
        <v>0.8125</v>
      </c>
      <c r="G8" s="35" t="s">
        <v>76</v>
      </c>
      <c r="H8" s="8" t="s">
        <v>35</v>
      </c>
      <c r="I8" s="8"/>
      <c r="J8" s="8"/>
      <c r="K8" s="74"/>
      <c r="L8" s="54">
        <f>IF(C8="P&amp;G",4,1)+IF(I8="M",1,0)+J8+K8</f>
        <v>4</v>
      </c>
      <c r="M8" s="8">
        <f t="shared" si="4"/>
        <v>0</v>
      </c>
      <c r="N8" s="23">
        <f>COUNTIF(P8:AE8,"A")</f>
        <v>0</v>
      </c>
      <c r="O8" s="1">
        <f>L8-N8</f>
        <v>4</v>
      </c>
      <c r="P8" s="69"/>
      <c r="Q8" s="69"/>
      <c r="R8" s="36"/>
      <c r="S8" s="69"/>
      <c r="T8" s="69"/>
      <c r="U8" s="8"/>
      <c r="V8" s="8"/>
      <c r="W8" s="8"/>
      <c r="X8" s="36"/>
      <c r="Y8" s="8"/>
      <c r="Z8" s="8"/>
      <c r="AA8" s="8"/>
      <c r="AB8" s="8"/>
      <c r="AC8" s="8"/>
      <c r="AD8" s="8"/>
      <c r="AE8" s="8"/>
    </row>
    <row r="9" spans="1:31" s="73" customFormat="1">
      <c r="A9" s="4" t="s">
        <v>34</v>
      </c>
      <c r="B9" s="75">
        <v>42257</v>
      </c>
      <c r="C9" s="76" t="s">
        <v>31</v>
      </c>
      <c r="D9" s="36"/>
      <c r="E9" s="36"/>
      <c r="F9" s="7">
        <v>0.8125</v>
      </c>
      <c r="G9" s="35" t="s">
        <v>76</v>
      </c>
      <c r="H9" s="8" t="s">
        <v>35</v>
      </c>
      <c r="I9" s="8"/>
      <c r="J9" s="8"/>
      <c r="K9" s="74"/>
      <c r="L9" s="54">
        <f>IF(C9="P&amp;G",4,1)+IF(I9="M",1,0)+J9+K9</f>
        <v>4</v>
      </c>
      <c r="M9" s="8">
        <f t="shared" si="4"/>
        <v>0</v>
      </c>
      <c r="N9" s="23">
        <f t="shared" ref="N9:N14" si="5">COUNTIF(P9:AE9,"A")</f>
        <v>0</v>
      </c>
      <c r="O9" s="1">
        <f t="shared" ref="O9:O33" si="6">L9-N9</f>
        <v>4</v>
      </c>
      <c r="P9" s="69"/>
      <c r="Q9" s="8"/>
      <c r="R9" s="8"/>
      <c r="S9" s="69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</row>
    <row r="10" spans="1:31" s="71" customFormat="1">
      <c r="A10" s="4" t="s">
        <v>32</v>
      </c>
      <c r="B10" s="75">
        <v>42258</v>
      </c>
      <c r="C10" s="6" t="s">
        <v>28</v>
      </c>
      <c r="D10" s="4"/>
      <c r="E10" s="4"/>
      <c r="F10" s="7">
        <v>0.79166666666666663</v>
      </c>
      <c r="G10" s="4" t="s">
        <v>77</v>
      </c>
      <c r="H10" s="2" t="s">
        <v>35</v>
      </c>
      <c r="I10" s="2"/>
      <c r="J10" s="2"/>
      <c r="K10" s="72"/>
      <c r="L10" s="54">
        <f>IF(C10="P&amp;G",4,1)+IF(I10="M",1,0)+J10+K10</f>
        <v>1</v>
      </c>
      <c r="M10" s="8">
        <f t="shared" si="4"/>
        <v>0</v>
      </c>
      <c r="N10" s="23">
        <f t="shared" si="5"/>
        <v>0</v>
      </c>
      <c r="O10" s="1">
        <f t="shared" si="6"/>
        <v>1</v>
      </c>
      <c r="P10" s="69"/>
      <c r="Q10" s="8"/>
      <c r="R10" s="8"/>
      <c r="S10" s="70"/>
      <c r="T10" s="8"/>
      <c r="U10" s="2"/>
      <c r="V10" s="8"/>
      <c r="W10" s="2"/>
      <c r="X10" s="2"/>
      <c r="Y10" s="2"/>
      <c r="Z10" s="8"/>
      <c r="AA10" s="2"/>
      <c r="AB10" s="2"/>
      <c r="AC10" s="2"/>
      <c r="AD10" s="2"/>
      <c r="AE10" s="2"/>
    </row>
    <row r="11" spans="1:31" s="71" customFormat="1">
      <c r="A11" s="4" t="s">
        <v>32</v>
      </c>
      <c r="B11" s="75">
        <v>42258</v>
      </c>
      <c r="C11" s="76" t="s">
        <v>28</v>
      </c>
      <c r="D11" s="36"/>
      <c r="E11" s="36"/>
      <c r="F11" s="7">
        <v>0.83333333333333337</v>
      </c>
      <c r="G11" s="35" t="s">
        <v>78</v>
      </c>
      <c r="H11" s="2" t="s">
        <v>35</v>
      </c>
      <c r="I11" s="2"/>
      <c r="J11" s="2"/>
      <c r="K11" s="72"/>
      <c r="L11" s="54">
        <f>IF(C11="P&amp;G",4,1)+IF(I11="M",1,0)+J11+K11</f>
        <v>1</v>
      </c>
      <c r="M11" s="8">
        <f t="shared" si="4"/>
        <v>0</v>
      </c>
      <c r="N11" s="23">
        <f t="shared" si="5"/>
        <v>0</v>
      </c>
      <c r="O11" s="1">
        <f t="shared" si="6"/>
        <v>1</v>
      </c>
      <c r="P11" s="8"/>
      <c r="Q11" s="8"/>
      <c r="R11" s="8"/>
      <c r="S11" s="70"/>
      <c r="T11" s="8"/>
      <c r="U11" s="2"/>
      <c r="V11" s="8"/>
      <c r="W11" s="2"/>
      <c r="X11" s="2"/>
      <c r="Y11" s="2"/>
      <c r="Z11" s="8"/>
      <c r="AA11" s="2"/>
      <c r="AB11" s="2"/>
      <c r="AC11" s="2"/>
      <c r="AD11" s="2"/>
      <c r="AE11" s="2"/>
    </row>
    <row r="12" spans="1:31" s="71" customFormat="1">
      <c r="A12" s="4" t="s">
        <v>32</v>
      </c>
      <c r="B12" s="75">
        <v>42258</v>
      </c>
      <c r="C12" s="76" t="s">
        <v>31</v>
      </c>
      <c r="D12" s="9"/>
      <c r="E12" s="9"/>
      <c r="F12" s="7">
        <v>0.83333333333333337</v>
      </c>
      <c r="G12" s="35" t="s">
        <v>76</v>
      </c>
      <c r="H12" s="2" t="s">
        <v>35</v>
      </c>
      <c r="I12" s="2"/>
      <c r="J12" s="2"/>
      <c r="K12" s="72"/>
      <c r="L12" s="54">
        <f>IF(C12="P&amp;G",4,1)+IF(I12="M",1,0)+J12+K12</f>
        <v>4</v>
      </c>
      <c r="M12" s="8">
        <f>SUM(P12:AE12)+COUNTIF(P12:AE12,"A")</f>
        <v>0</v>
      </c>
      <c r="N12" s="23">
        <f t="shared" si="5"/>
        <v>0</v>
      </c>
      <c r="O12" s="1">
        <f t="shared" si="6"/>
        <v>4</v>
      </c>
      <c r="P12" s="8"/>
      <c r="Q12" s="8"/>
      <c r="R12" s="8"/>
      <c r="S12" s="70"/>
      <c r="T12" s="8"/>
      <c r="U12" s="2"/>
      <c r="V12" s="8"/>
      <c r="W12" s="2"/>
      <c r="X12" s="2"/>
      <c r="Y12" s="2"/>
      <c r="Z12" s="8"/>
      <c r="AA12" s="2"/>
      <c r="AB12" s="2"/>
      <c r="AC12" s="2"/>
      <c r="AD12" s="2"/>
      <c r="AE12" s="2"/>
    </row>
    <row r="13" spans="1:31">
      <c r="A13" s="4" t="s">
        <v>30</v>
      </c>
      <c r="B13" s="75">
        <v>42259</v>
      </c>
      <c r="C13" s="76" t="s">
        <v>28</v>
      </c>
      <c r="D13" s="9"/>
      <c r="E13" s="9"/>
      <c r="F13" s="7">
        <v>0.58333333333333337</v>
      </c>
      <c r="G13" s="35" t="s">
        <v>78</v>
      </c>
      <c r="H13" s="24" t="s">
        <v>37</v>
      </c>
      <c r="L13" s="54">
        <f>IF(C13="P&amp;G",4,1)+IF(I13="M",1,0)+J13+K13</f>
        <v>1</v>
      </c>
      <c r="M13" s="8">
        <f t="shared" ref="M13:M33" si="7">SUM(P13:AE13)+COUNTIF(P13:AE13,"A")</f>
        <v>0</v>
      </c>
      <c r="N13" s="23">
        <f t="shared" si="5"/>
        <v>0</v>
      </c>
      <c r="O13" s="1">
        <f t="shared" si="6"/>
        <v>1</v>
      </c>
      <c r="P13" s="8"/>
      <c r="Q13" s="8"/>
      <c r="R13" s="8"/>
      <c r="S13" s="2"/>
      <c r="T13" s="55"/>
      <c r="U13" s="2"/>
      <c r="V13" s="8"/>
      <c r="W13" s="2"/>
      <c r="X13" s="2"/>
      <c r="Y13" s="2"/>
      <c r="Z13" s="8"/>
      <c r="AA13" s="2"/>
      <c r="AB13" s="2"/>
      <c r="AC13" s="2"/>
      <c r="AD13" s="2"/>
      <c r="AE13" s="2"/>
    </row>
    <row r="14" spans="1:31">
      <c r="A14" s="4" t="s">
        <v>30</v>
      </c>
      <c r="B14" s="75">
        <v>42259</v>
      </c>
      <c r="C14" s="76" t="s">
        <v>31</v>
      </c>
      <c r="D14" s="35"/>
      <c r="E14" s="35"/>
      <c r="F14" s="7">
        <v>0.58333333333333337</v>
      </c>
      <c r="G14" s="35" t="s">
        <v>76</v>
      </c>
      <c r="H14" s="24" t="s">
        <v>36</v>
      </c>
      <c r="L14" s="54">
        <f>IF(C14="P&amp;G",4,1)+IF(I14="M",1,0)+J14+K14</f>
        <v>4</v>
      </c>
      <c r="M14" s="8">
        <f t="shared" si="7"/>
        <v>0</v>
      </c>
      <c r="N14" s="23">
        <f t="shared" si="5"/>
        <v>0</v>
      </c>
      <c r="O14" s="1">
        <f t="shared" si="6"/>
        <v>4</v>
      </c>
      <c r="P14" s="8"/>
      <c r="Q14" s="8"/>
      <c r="R14" s="8"/>
      <c r="S14" s="2"/>
      <c r="T14" s="8"/>
      <c r="U14" s="2"/>
      <c r="V14" s="8"/>
      <c r="W14" s="2"/>
      <c r="X14" s="2"/>
      <c r="Y14" s="2"/>
      <c r="Z14" s="8"/>
      <c r="AA14" s="2"/>
      <c r="AB14" s="2"/>
      <c r="AC14" s="2"/>
      <c r="AD14" s="2"/>
      <c r="AE14" s="2"/>
    </row>
    <row r="15" spans="1:31">
      <c r="A15" s="4" t="s">
        <v>30</v>
      </c>
      <c r="B15" s="75">
        <v>42259</v>
      </c>
      <c r="C15" s="76" t="s">
        <v>28</v>
      </c>
      <c r="F15" s="7">
        <v>0.83333333333333337</v>
      </c>
      <c r="G15" s="35" t="s">
        <v>78</v>
      </c>
      <c r="H15" s="78" t="s">
        <v>35</v>
      </c>
      <c r="I15" s="37"/>
      <c r="J15" s="37"/>
      <c r="K15" s="37"/>
      <c r="L15" s="54">
        <f>IF(C15="P&amp;G",4,1)+IF(I15="M",1,0)+J15+K15</f>
        <v>1</v>
      </c>
      <c r="M15" s="8">
        <f t="shared" si="7"/>
        <v>0</v>
      </c>
      <c r="N15" s="23">
        <f t="shared" ref="N15:N33" si="8">COUNTIF(P15:AE15,"A")</f>
        <v>0</v>
      </c>
      <c r="O15" s="1">
        <f t="shared" si="6"/>
        <v>1</v>
      </c>
      <c r="P15" s="8"/>
      <c r="Q15" s="8"/>
      <c r="R15" s="8"/>
      <c r="S15" s="2"/>
      <c r="T15" s="8"/>
      <c r="U15" s="2"/>
      <c r="V15" s="8"/>
      <c r="W15" s="2"/>
      <c r="X15" s="2"/>
      <c r="Y15" s="2"/>
      <c r="Z15" s="8"/>
      <c r="AA15" s="2"/>
      <c r="AB15" s="2"/>
      <c r="AC15" s="2"/>
      <c r="AD15" s="2"/>
      <c r="AE15" s="2"/>
    </row>
    <row r="16" spans="1:31">
      <c r="A16" s="4" t="s">
        <v>30</v>
      </c>
      <c r="B16" s="75">
        <v>42259</v>
      </c>
      <c r="C16" s="76" t="s">
        <v>31</v>
      </c>
      <c r="F16" s="7">
        <v>0.83333333333333337</v>
      </c>
      <c r="G16" s="35" t="s">
        <v>76</v>
      </c>
      <c r="H16" s="78" t="s">
        <v>36</v>
      </c>
      <c r="I16" s="37"/>
      <c r="J16" s="37"/>
      <c r="K16" s="37"/>
      <c r="L16" s="54">
        <f>IF(C16="P&amp;G",4,1)+IF(I16="M",1,0)+J16+K16</f>
        <v>4</v>
      </c>
      <c r="M16" s="8">
        <f t="shared" si="7"/>
        <v>0</v>
      </c>
      <c r="N16" s="23">
        <f t="shared" si="8"/>
        <v>0</v>
      </c>
      <c r="O16" s="1">
        <f t="shared" si="6"/>
        <v>4</v>
      </c>
      <c r="P16" s="8"/>
      <c r="Q16" s="8"/>
      <c r="R16" s="8"/>
      <c r="S16" s="2"/>
      <c r="T16" s="8"/>
      <c r="U16" s="2"/>
      <c r="V16" s="8"/>
      <c r="W16" s="2"/>
      <c r="X16" s="2"/>
      <c r="Y16" s="2"/>
      <c r="Z16" s="8"/>
      <c r="AA16" s="2"/>
      <c r="AB16" s="2"/>
      <c r="AC16" s="2"/>
      <c r="AD16" s="2"/>
      <c r="AE16" s="2"/>
    </row>
    <row r="17" spans="1:31">
      <c r="A17" s="4" t="s">
        <v>29</v>
      </c>
      <c r="B17" s="75">
        <v>42260</v>
      </c>
      <c r="C17" s="76" t="s">
        <v>31</v>
      </c>
      <c r="F17" s="7">
        <v>0.54166666666666663</v>
      </c>
      <c r="G17" s="35" t="s">
        <v>76</v>
      </c>
      <c r="H17" s="78" t="s">
        <v>36</v>
      </c>
      <c r="I17" s="37"/>
      <c r="J17" s="37"/>
      <c r="K17" s="37"/>
      <c r="L17" s="54">
        <f>IF(C17="P&amp;G",4,1)+IF(I17="M",1,0)+J17+K17</f>
        <v>4</v>
      </c>
      <c r="M17" s="8">
        <f t="shared" si="7"/>
        <v>0</v>
      </c>
      <c r="N17" s="23">
        <f t="shared" si="8"/>
        <v>0</v>
      </c>
      <c r="O17" s="1">
        <f t="shared" si="6"/>
        <v>4</v>
      </c>
      <c r="P17" s="8"/>
      <c r="Q17" s="8"/>
      <c r="R17" s="8"/>
      <c r="S17" s="2"/>
      <c r="T17" s="8"/>
      <c r="U17" s="2"/>
      <c r="V17" s="8"/>
      <c r="W17" s="2"/>
      <c r="X17" s="2"/>
      <c r="Y17" s="2"/>
      <c r="Z17" s="8"/>
      <c r="AA17" s="2"/>
      <c r="AB17" s="2"/>
      <c r="AC17" s="2"/>
      <c r="AD17" s="2"/>
      <c r="AE17" s="2"/>
    </row>
    <row r="18" spans="1:31">
      <c r="A18" s="4" t="s">
        <v>29</v>
      </c>
      <c r="B18" s="75">
        <v>42260</v>
      </c>
      <c r="C18" s="76" t="s">
        <v>28</v>
      </c>
      <c r="F18" s="7">
        <v>0.58333333333333337</v>
      </c>
      <c r="G18" s="35" t="s">
        <v>78</v>
      </c>
      <c r="H18" s="78" t="s">
        <v>37</v>
      </c>
      <c r="I18" s="37"/>
      <c r="J18" s="37"/>
      <c r="K18" s="37"/>
      <c r="L18" s="54">
        <f>IF(C18="P&amp;G",4,1)+IF(I18="M",1,0)+J18+K18</f>
        <v>1</v>
      </c>
      <c r="M18" s="8">
        <f t="shared" si="7"/>
        <v>0</v>
      </c>
      <c r="N18" s="23">
        <f t="shared" si="8"/>
        <v>0</v>
      </c>
      <c r="O18" s="1">
        <f t="shared" si="6"/>
        <v>1</v>
      </c>
      <c r="P18" s="8"/>
      <c r="Q18" s="8"/>
      <c r="R18" s="8"/>
      <c r="S18" s="2"/>
      <c r="T18" s="8"/>
      <c r="U18" s="2"/>
      <c r="V18" s="8"/>
      <c r="W18" s="2"/>
      <c r="X18" s="2"/>
      <c r="Y18" s="2"/>
      <c r="Z18" s="8"/>
      <c r="AA18" s="2"/>
      <c r="AB18" s="2"/>
      <c r="AC18" s="2"/>
      <c r="AD18" s="2"/>
      <c r="AE18" s="2"/>
    </row>
    <row r="19" spans="1:31">
      <c r="A19" s="4" t="s">
        <v>29</v>
      </c>
      <c r="B19" s="75">
        <v>42260</v>
      </c>
      <c r="C19" s="76" t="s">
        <v>31</v>
      </c>
      <c r="F19" s="7">
        <v>0.77083333333333337</v>
      </c>
      <c r="G19" s="35" t="s">
        <v>76</v>
      </c>
      <c r="H19" s="78" t="s">
        <v>36</v>
      </c>
      <c r="I19" s="37"/>
      <c r="J19" s="37"/>
      <c r="K19" s="37"/>
      <c r="L19" s="54">
        <f>IF(C19="P&amp;G",4,1)+IF(I19="M",1,0)+J19+K19</f>
        <v>4</v>
      </c>
      <c r="M19" s="8">
        <f t="shared" si="7"/>
        <v>0</v>
      </c>
      <c r="N19" s="23">
        <f t="shared" si="8"/>
        <v>0</v>
      </c>
      <c r="O19" s="1">
        <f t="shared" si="6"/>
        <v>4</v>
      </c>
      <c r="P19" s="8"/>
      <c r="Q19" s="8"/>
      <c r="R19" s="8"/>
      <c r="S19" s="2"/>
      <c r="T19" s="8"/>
      <c r="U19" s="2"/>
      <c r="V19" s="8"/>
      <c r="W19" s="2"/>
      <c r="X19" s="2"/>
      <c r="Y19" s="2"/>
      <c r="Z19" s="8"/>
      <c r="AA19" s="2"/>
      <c r="AB19" s="2"/>
      <c r="AC19" s="2"/>
      <c r="AD19" s="2"/>
      <c r="AE19" s="2"/>
    </row>
    <row r="20" spans="1:31">
      <c r="A20" s="9" t="s">
        <v>27</v>
      </c>
      <c r="B20" s="77">
        <v>42262</v>
      </c>
      <c r="C20" s="76" t="s">
        <v>31</v>
      </c>
      <c r="F20" s="7">
        <v>0.8125</v>
      </c>
      <c r="G20" s="35" t="s">
        <v>76</v>
      </c>
      <c r="H20" s="78" t="s">
        <v>35</v>
      </c>
      <c r="I20" s="37"/>
      <c r="J20" s="37"/>
      <c r="K20" s="37"/>
      <c r="L20" s="54">
        <f>IF(C20="P&amp;G",4,1)+IF(I20="M",1,0)+J20+K20</f>
        <v>4</v>
      </c>
      <c r="M20" s="8">
        <f t="shared" si="7"/>
        <v>0</v>
      </c>
      <c r="N20" s="23">
        <f t="shared" si="8"/>
        <v>0</v>
      </c>
      <c r="O20" s="1">
        <f t="shared" si="6"/>
        <v>4</v>
      </c>
      <c r="P20" s="8"/>
      <c r="Q20" s="8"/>
      <c r="R20" s="8"/>
      <c r="S20" s="2"/>
      <c r="T20" s="8"/>
      <c r="U20" s="2"/>
      <c r="V20" s="8"/>
      <c r="W20" s="2"/>
      <c r="X20" s="8"/>
      <c r="Y20" s="2"/>
      <c r="Z20" s="8"/>
      <c r="AA20" s="2"/>
      <c r="AB20" s="2"/>
      <c r="AC20" s="2"/>
      <c r="AD20" s="2"/>
      <c r="AE20" s="2"/>
    </row>
    <row r="21" spans="1:31">
      <c r="A21" s="4" t="s">
        <v>33</v>
      </c>
      <c r="B21" s="75">
        <v>42263</v>
      </c>
      <c r="C21" s="76" t="s">
        <v>31</v>
      </c>
      <c r="F21" s="7">
        <v>0.8125</v>
      </c>
      <c r="G21" s="35" t="s">
        <v>76</v>
      </c>
      <c r="H21" s="78" t="s">
        <v>35</v>
      </c>
      <c r="I21" s="37"/>
      <c r="J21" s="37"/>
      <c r="K21" s="37"/>
      <c r="L21" s="54">
        <f>IF(C21="P&amp;G",4,1)+IF(I21="M",1,0)+J21+K21</f>
        <v>4</v>
      </c>
      <c r="M21" s="8">
        <f t="shared" si="7"/>
        <v>0</v>
      </c>
      <c r="N21" s="23">
        <f t="shared" si="8"/>
        <v>0</v>
      </c>
      <c r="O21" s="1">
        <f t="shared" si="6"/>
        <v>4</v>
      </c>
      <c r="P21" s="8"/>
      <c r="Q21" s="8"/>
      <c r="R21" s="8"/>
      <c r="S21" s="2"/>
      <c r="T21" s="8"/>
      <c r="U21" s="2"/>
      <c r="V21" s="8"/>
      <c r="W21" s="2"/>
      <c r="X21" s="8"/>
      <c r="Y21" s="2"/>
      <c r="Z21" s="8"/>
      <c r="AA21" s="2"/>
      <c r="AB21" s="8"/>
      <c r="AC21" s="2"/>
      <c r="AD21" s="2"/>
      <c r="AE21" s="2"/>
    </row>
    <row r="22" spans="1:31">
      <c r="A22" s="4" t="s">
        <v>33</v>
      </c>
      <c r="B22" s="75">
        <v>42263</v>
      </c>
      <c r="C22" s="76" t="s">
        <v>28</v>
      </c>
      <c r="F22" s="7">
        <v>0.83333333333333337</v>
      </c>
      <c r="G22" s="35" t="s">
        <v>78</v>
      </c>
      <c r="H22" s="78" t="s">
        <v>35</v>
      </c>
      <c r="I22" s="37"/>
      <c r="J22" s="37"/>
      <c r="K22" s="37"/>
      <c r="L22" s="54">
        <f>IF(C22="P&amp;G",4,1)+IF(I22="M",1,0)+J22+K22</f>
        <v>1</v>
      </c>
      <c r="M22" s="8">
        <f t="shared" si="7"/>
        <v>0</v>
      </c>
      <c r="N22" s="23">
        <f t="shared" si="8"/>
        <v>0</v>
      </c>
      <c r="O22" s="1">
        <f t="shared" si="6"/>
        <v>1</v>
      </c>
      <c r="P22" s="8"/>
      <c r="Q22" s="8"/>
      <c r="R22" s="8"/>
      <c r="S22" s="2"/>
      <c r="T22" s="8"/>
      <c r="U22" s="2"/>
      <c r="V22" s="8"/>
      <c r="W22" s="2"/>
      <c r="X22" s="8"/>
      <c r="Y22" s="2"/>
      <c r="Z22" s="8"/>
      <c r="AA22" s="2"/>
      <c r="AB22" s="8"/>
      <c r="AC22" s="2"/>
      <c r="AD22" s="2"/>
      <c r="AE22" s="2"/>
    </row>
    <row r="23" spans="1:31">
      <c r="A23" s="4" t="s">
        <v>34</v>
      </c>
      <c r="B23" s="75">
        <v>42264</v>
      </c>
      <c r="C23" s="76" t="s">
        <v>31</v>
      </c>
      <c r="F23" s="7">
        <v>0.8125</v>
      </c>
      <c r="G23" s="35" t="s">
        <v>76</v>
      </c>
      <c r="H23" s="78" t="s">
        <v>35</v>
      </c>
      <c r="I23" s="37"/>
      <c r="J23" s="37"/>
      <c r="K23" s="37"/>
      <c r="L23" s="54">
        <f>IF(C23="P&amp;G",4,1)+IF(I23="M",1,0)+J23+K23</f>
        <v>4</v>
      </c>
      <c r="M23" s="8">
        <f t="shared" si="7"/>
        <v>0</v>
      </c>
      <c r="N23" s="23">
        <f t="shared" si="8"/>
        <v>0</v>
      </c>
      <c r="O23" s="1">
        <f t="shared" si="6"/>
        <v>4</v>
      </c>
      <c r="P23" s="8"/>
      <c r="Q23" s="8"/>
      <c r="R23" s="8"/>
      <c r="S23" s="2"/>
      <c r="T23" s="8"/>
      <c r="U23" s="2"/>
      <c r="V23" s="8"/>
      <c r="W23" s="2"/>
      <c r="X23" s="2"/>
      <c r="Y23" s="2"/>
      <c r="Z23" s="8"/>
      <c r="AA23" s="2"/>
      <c r="AB23" s="8"/>
      <c r="AC23" s="2"/>
      <c r="AD23" s="2"/>
      <c r="AE23" s="2"/>
    </row>
    <row r="24" spans="1:31">
      <c r="A24" s="4" t="s">
        <v>34</v>
      </c>
      <c r="B24" s="75">
        <v>42264</v>
      </c>
      <c r="C24" s="76" t="s">
        <v>28</v>
      </c>
      <c r="D24" s="4"/>
      <c r="E24" s="2"/>
      <c r="F24" s="7">
        <v>0.83333333333333337</v>
      </c>
      <c r="G24" s="35" t="s">
        <v>78</v>
      </c>
      <c r="H24" s="78" t="s">
        <v>35</v>
      </c>
      <c r="I24" s="37"/>
      <c r="J24" s="37"/>
      <c r="K24" s="37"/>
      <c r="L24" s="54">
        <f>IF(C24="P&amp;G",4,1)+IF(I24="M",1,0)+J24+K24</f>
        <v>1</v>
      </c>
      <c r="M24" s="8">
        <f t="shared" si="7"/>
        <v>0</v>
      </c>
      <c r="N24" s="23">
        <f t="shared" si="8"/>
        <v>0</v>
      </c>
      <c r="O24" s="1">
        <f t="shared" si="6"/>
        <v>1</v>
      </c>
      <c r="P24" s="8"/>
      <c r="Q24" s="8"/>
      <c r="R24" s="8"/>
      <c r="S24" s="2"/>
      <c r="T24" s="8"/>
      <c r="U24" s="2"/>
      <c r="V24" s="8"/>
      <c r="W24" s="2"/>
      <c r="X24" s="2"/>
      <c r="Y24" s="2"/>
      <c r="Z24" s="8"/>
      <c r="AA24" s="2"/>
      <c r="AB24" s="8"/>
      <c r="AC24" s="2"/>
      <c r="AD24" s="2"/>
      <c r="AE24" s="2"/>
    </row>
    <row r="25" spans="1:31">
      <c r="A25" s="4" t="s">
        <v>32</v>
      </c>
      <c r="B25" s="75">
        <v>42265</v>
      </c>
      <c r="C25" s="6" t="s">
        <v>28</v>
      </c>
      <c r="D25" s="4"/>
      <c r="E25" s="2"/>
      <c r="F25" s="7">
        <v>0.79166666666666663</v>
      </c>
      <c r="G25" s="4" t="s">
        <v>77</v>
      </c>
      <c r="H25" s="79" t="s">
        <v>35</v>
      </c>
      <c r="I25" s="38"/>
      <c r="J25" s="38"/>
      <c r="K25" s="38"/>
      <c r="L25" s="54">
        <f>IF(C25="P&amp;G",4,1)+IF(I25="M",1,0)+J25+K25</f>
        <v>1</v>
      </c>
      <c r="M25" s="8">
        <f t="shared" si="7"/>
        <v>0</v>
      </c>
      <c r="N25" s="23">
        <f t="shared" si="8"/>
        <v>0</v>
      </c>
      <c r="O25" s="1">
        <f t="shared" si="6"/>
        <v>1</v>
      </c>
      <c r="P25" s="8"/>
      <c r="Q25" s="8"/>
      <c r="R25" s="8"/>
      <c r="S25" s="2"/>
      <c r="T25" s="8"/>
      <c r="U25" s="2"/>
      <c r="V25" s="8"/>
      <c r="W25" s="2"/>
      <c r="X25" s="2"/>
      <c r="Y25" s="2"/>
      <c r="Z25" s="8"/>
      <c r="AA25" s="2"/>
      <c r="AB25" s="2"/>
      <c r="AC25" s="2"/>
      <c r="AD25" s="2"/>
      <c r="AE25" s="2"/>
    </row>
    <row r="26" spans="1:31">
      <c r="A26" s="4" t="s">
        <v>32</v>
      </c>
      <c r="B26" s="75">
        <v>42265</v>
      </c>
      <c r="C26" s="76" t="s">
        <v>31</v>
      </c>
      <c r="D26" s="4"/>
      <c r="E26" s="2"/>
      <c r="F26" s="7">
        <v>0.83333333333333337</v>
      </c>
      <c r="G26" s="35" t="s">
        <v>76</v>
      </c>
      <c r="H26" s="80" t="s">
        <v>35</v>
      </c>
      <c r="I26" s="21"/>
      <c r="J26" s="21"/>
      <c r="K26" s="21"/>
      <c r="L26" s="54">
        <f>IF(C26="P&amp;G",4,1)+IF(I26="M",1,0)+J26+K26</f>
        <v>4</v>
      </c>
      <c r="M26" s="8">
        <f t="shared" si="7"/>
        <v>0</v>
      </c>
      <c r="N26" s="23">
        <f t="shared" si="8"/>
        <v>0</v>
      </c>
      <c r="O26" s="1">
        <f t="shared" si="6"/>
        <v>4</v>
      </c>
      <c r="P26" s="8"/>
      <c r="Q26" s="8"/>
      <c r="R26" s="8"/>
      <c r="S26" s="8"/>
      <c r="T26" s="8"/>
      <c r="U26" s="2"/>
      <c r="V26" s="8"/>
      <c r="W26" s="2"/>
      <c r="X26" s="2"/>
      <c r="Y26" s="2"/>
      <c r="Z26" s="8"/>
      <c r="AA26" s="2"/>
      <c r="AB26" s="2"/>
      <c r="AC26" s="2"/>
      <c r="AD26" s="2"/>
      <c r="AE26" s="2"/>
    </row>
    <row r="27" spans="1:31">
      <c r="A27" s="4" t="s">
        <v>30</v>
      </c>
      <c r="B27" s="75">
        <v>42266</v>
      </c>
      <c r="C27" s="76" t="s">
        <v>28</v>
      </c>
      <c r="D27" s="4"/>
      <c r="E27" s="2"/>
      <c r="F27" s="7">
        <v>0.58333333333333337</v>
      </c>
      <c r="G27" s="35" t="s">
        <v>78</v>
      </c>
      <c r="H27" s="80" t="s">
        <v>37</v>
      </c>
      <c r="I27" s="21"/>
      <c r="J27" s="21"/>
      <c r="K27" s="21"/>
      <c r="L27" s="54">
        <f>IF(C27="P&amp;G",4,1)+IF(I27="M",1,0)+J27+K27</f>
        <v>1</v>
      </c>
      <c r="M27" s="8">
        <f t="shared" si="7"/>
        <v>0</v>
      </c>
      <c r="N27" s="23">
        <f t="shared" si="8"/>
        <v>0</v>
      </c>
      <c r="O27" s="1">
        <f t="shared" si="6"/>
        <v>1</v>
      </c>
      <c r="P27" s="8"/>
      <c r="Q27" s="8"/>
      <c r="R27" s="8"/>
      <c r="S27" s="15"/>
      <c r="T27" s="8"/>
      <c r="U27" s="15"/>
      <c r="V27" s="8"/>
      <c r="W27" s="15"/>
      <c r="X27" s="15"/>
      <c r="Y27" s="15"/>
      <c r="Z27" s="8"/>
      <c r="AA27" s="15"/>
      <c r="AB27" s="15"/>
      <c r="AC27" s="15"/>
      <c r="AD27" s="15"/>
      <c r="AE27" s="15"/>
    </row>
    <row r="28" spans="1:31">
      <c r="A28" s="4" t="s">
        <v>30</v>
      </c>
      <c r="B28" s="75">
        <v>42266</v>
      </c>
      <c r="C28" s="76" t="s">
        <v>31</v>
      </c>
      <c r="D28" s="4"/>
      <c r="E28" s="2"/>
      <c r="F28" s="7">
        <v>0.58333333333333337</v>
      </c>
      <c r="G28" s="35" t="s">
        <v>76</v>
      </c>
      <c r="H28" s="81" t="s">
        <v>36</v>
      </c>
      <c r="I28" s="22"/>
      <c r="J28" s="22"/>
      <c r="K28" s="22"/>
      <c r="L28" s="54">
        <f>IF(C28="P&amp;G",4,1)+IF(I28="M",1,0)+J28+K28</f>
        <v>4</v>
      </c>
      <c r="M28" s="8">
        <f t="shared" si="7"/>
        <v>0</v>
      </c>
      <c r="N28" s="23">
        <f t="shared" si="8"/>
        <v>0</v>
      </c>
      <c r="O28" s="1">
        <f t="shared" si="6"/>
        <v>4</v>
      </c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</row>
    <row r="29" spans="1:31">
      <c r="A29" s="4" t="s">
        <v>30</v>
      </c>
      <c r="B29" s="75">
        <v>42266</v>
      </c>
      <c r="C29" s="76" t="s">
        <v>28</v>
      </c>
      <c r="F29" s="7">
        <v>0.83333333333333337</v>
      </c>
      <c r="G29" s="35" t="s">
        <v>78</v>
      </c>
      <c r="H29" s="78" t="s">
        <v>35</v>
      </c>
      <c r="I29" s="37"/>
      <c r="J29" s="37"/>
      <c r="K29" s="37"/>
      <c r="L29" s="54">
        <f>IF(C29="P&amp;G",4,1)+IF(I29="M",1,0)+J29+K29</f>
        <v>1</v>
      </c>
      <c r="M29" s="8">
        <f t="shared" si="7"/>
        <v>0</v>
      </c>
      <c r="N29" s="23">
        <f t="shared" si="8"/>
        <v>0</v>
      </c>
      <c r="O29" s="1">
        <f t="shared" si="6"/>
        <v>1</v>
      </c>
      <c r="P29" s="8"/>
      <c r="Q29" s="8"/>
      <c r="R29" s="8"/>
      <c r="S29" s="2"/>
      <c r="T29" s="8"/>
      <c r="U29" s="2"/>
      <c r="V29" s="8"/>
      <c r="W29" s="2"/>
      <c r="X29" s="2"/>
      <c r="Y29" s="2"/>
      <c r="Z29" s="8"/>
      <c r="AA29" s="2"/>
      <c r="AB29" s="2"/>
      <c r="AC29" s="2"/>
      <c r="AD29" s="2"/>
      <c r="AE29" s="2"/>
    </row>
    <row r="30" spans="1:31">
      <c r="A30" s="4" t="s">
        <v>30</v>
      </c>
      <c r="B30" s="75">
        <v>42266</v>
      </c>
      <c r="C30" s="76" t="s">
        <v>31</v>
      </c>
      <c r="D30" s="4"/>
      <c r="E30" s="2"/>
      <c r="F30" s="7">
        <v>0.83333333333333337</v>
      </c>
      <c r="G30" s="35" t="s">
        <v>76</v>
      </c>
      <c r="H30" s="24" t="s">
        <v>36</v>
      </c>
      <c r="L30" s="54">
        <f>IF(C30="P&amp;G",4,1)+IF(I30="M",1,0)+J30+K30</f>
        <v>4</v>
      </c>
      <c r="M30" s="8">
        <f t="shared" si="7"/>
        <v>0</v>
      </c>
      <c r="N30" s="23">
        <f t="shared" si="8"/>
        <v>0</v>
      </c>
      <c r="O30" s="1">
        <f t="shared" si="6"/>
        <v>4</v>
      </c>
      <c r="P30" s="8" t="s">
        <v>26</v>
      </c>
      <c r="Q30" s="2" t="s">
        <v>26</v>
      </c>
      <c r="R30" s="8" t="s">
        <v>26</v>
      </c>
      <c r="S30" s="2"/>
      <c r="T30" s="8" t="s">
        <v>26</v>
      </c>
      <c r="U30" s="2"/>
      <c r="V30" s="8" t="s">
        <v>26</v>
      </c>
      <c r="W30" s="2" t="s">
        <v>26</v>
      </c>
      <c r="X30" s="2" t="s">
        <v>26</v>
      </c>
      <c r="Y30" s="2" t="s">
        <v>26</v>
      </c>
      <c r="Z30" s="8" t="s">
        <v>26</v>
      </c>
      <c r="AA30" s="2" t="s">
        <v>26</v>
      </c>
      <c r="AB30" s="2"/>
      <c r="AC30" s="2" t="s">
        <v>26</v>
      </c>
      <c r="AD30" s="2"/>
      <c r="AE30" s="2"/>
    </row>
    <row r="31" spans="1:31">
      <c r="A31" s="4" t="s">
        <v>29</v>
      </c>
      <c r="B31" s="75">
        <v>42267</v>
      </c>
      <c r="C31" s="76" t="s">
        <v>31</v>
      </c>
      <c r="D31" s="4"/>
      <c r="E31" s="2"/>
      <c r="F31" s="7">
        <v>0.54166666666666663</v>
      </c>
      <c r="G31" s="35" t="s">
        <v>76</v>
      </c>
      <c r="H31" s="24" t="s">
        <v>36</v>
      </c>
      <c r="L31" s="54">
        <f>IF(C31="P&amp;G",4,1)+IF(I31="M",1,0)+J31+K31</f>
        <v>4</v>
      </c>
      <c r="M31" s="8">
        <f t="shared" si="7"/>
        <v>0</v>
      </c>
      <c r="N31" s="23">
        <f t="shared" si="8"/>
        <v>0</v>
      </c>
      <c r="O31" s="1">
        <f t="shared" si="6"/>
        <v>4</v>
      </c>
      <c r="P31" s="8"/>
      <c r="Q31" s="2"/>
      <c r="R31" s="8"/>
      <c r="S31" s="2"/>
      <c r="T31" s="8"/>
      <c r="U31" s="2"/>
      <c r="V31" s="8"/>
      <c r="W31" s="2"/>
      <c r="X31" s="2"/>
      <c r="Y31" s="2"/>
      <c r="Z31" s="8"/>
      <c r="AA31" s="2"/>
      <c r="AB31" s="2"/>
      <c r="AC31" s="2"/>
      <c r="AD31" s="2"/>
      <c r="AE31" s="2"/>
    </row>
    <row r="32" spans="1:31">
      <c r="A32" s="4" t="s">
        <v>29</v>
      </c>
      <c r="B32" s="75">
        <v>42267</v>
      </c>
      <c r="C32" s="76" t="s">
        <v>31</v>
      </c>
      <c r="D32" s="4"/>
      <c r="E32" s="2"/>
      <c r="F32" s="7">
        <v>0.77083333333333337</v>
      </c>
      <c r="G32" s="35" t="s">
        <v>76</v>
      </c>
      <c r="H32" s="24" t="s">
        <v>36</v>
      </c>
      <c r="L32" s="54">
        <f>IF(C32="P&amp;G",4,1)+IF(I32="M",1,0)+J32+K32</f>
        <v>4</v>
      </c>
      <c r="M32" s="8">
        <f t="shared" si="7"/>
        <v>0</v>
      </c>
      <c r="N32" s="23">
        <f t="shared" si="8"/>
        <v>0</v>
      </c>
      <c r="O32" s="1">
        <f t="shared" si="6"/>
        <v>4</v>
      </c>
      <c r="P32" s="8"/>
      <c r="Q32" s="2"/>
      <c r="R32" s="8"/>
      <c r="S32" s="2"/>
      <c r="T32" s="8"/>
      <c r="U32" s="2"/>
      <c r="V32" s="8"/>
      <c r="W32" s="2"/>
      <c r="X32" s="2"/>
      <c r="Y32" s="2"/>
      <c r="Z32" s="8"/>
      <c r="AA32" s="2"/>
      <c r="AB32" s="2"/>
      <c r="AC32" s="2"/>
      <c r="AD32" s="2"/>
      <c r="AE32" s="2"/>
    </row>
    <row r="33" spans="1:31">
      <c r="A33" s="4" t="s">
        <v>33</v>
      </c>
      <c r="B33" s="75">
        <v>42277</v>
      </c>
      <c r="C33" s="6" t="s">
        <v>28</v>
      </c>
      <c r="D33" s="4"/>
      <c r="E33" s="2"/>
      <c r="F33" s="8"/>
      <c r="G33" s="9" t="s">
        <v>79</v>
      </c>
      <c r="H33" s="24" t="s">
        <v>37</v>
      </c>
      <c r="L33" s="54">
        <f>IF(C33="P&amp;G",4,1)+IF(I33="M",1,0)+J33+K33</f>
        <v>1</v>
      </c>
      <c r="M33" s="8">
        <f t="shared" si="7"/>
        <v>0</v>
      </c>
      <c r="N33" s="23">
        <f t="shared" si="8"/>
        <v>0</v>
      </c>
      <c r="O33" s="1">
        <f t="shared" si="6"/>
        <v>1</v>
      </c>
      <c r="P33" s="8"/>
      <c r="Q33" s="2"/>
      <c r="R33" s="8"/>
      <c r="S33" s="2"/>
      <c r="T33" s="8"/>
      <c r="U33" s="2"/>
      <c r="V33" s="8"/>
      <c r="W33" s="2"/>
      <c r="X33" s="2"/>
      <c r="Y33" s="2"/>
      <c r="Z33" s="8"/>
      <c r="AA33" s="2"/>
      <c r="AB33" s="2"/>
      <c r="AC33" s="2"/>
      <c r="AD33" s="2"/>
      <c r="AE33" s="2"/>
    </row>
    <row r="34" spans="1:31">
      <c r="A34" s="4"/>
      <c r="B34" s="75"/>
      <c r="C34" s="76"/>
      <c r="D34" s="4"/>
      <c r="E34" s="2"/>
      <c r="F34" s="2"/>
      <c r="G34" s="4"/>
      <c r="L34" s="1"/>
      <c r="M34" s="2"/>
      <c r="N34" s="23"/>
      <c r="O34" s="1"/>
      <c r="P34" s="8"/>
      <c r="Q34" s="2"/>
      <c r="R34" s="8"/>
      <c r="S34" s="2"/>
      <c r="T34" s="8"/>
      <c r="U34" s="2"/>
      <c r="V34" s="8"/>
      <c r="W34" s="2"/>
      <c r="X34" s="2"/>
      <c r="Y34" s="2"/>
      <c r="Z34" s="8"/>
      <c r="AA34" s="2"/>
      <c r="AB34" s="2"/>
      <c r="AC34" s="2"/>
      <c r="AD34" s="2"/>
      <c r="AE34" s="2"/>
    </row>
    <row r="35" spans="1:31">
      <c r="A35" s="4"/>
      <c r="B35" s="75"/>
      <c r="C35" s="76"/>
      <c r="D35" s="4"/>
      <c r="E35" s="2"/>
      <c r="F35" s="2"/>
      <c r="G35" s="4"/>
      <c r="L35" s="1"/>
      <c r="M35" s="2"/>
      <c r="N35" s="23"/>
      <c r="O35" s="1"/>
      <c r="P35" s="8"/>
      <c r="Q35" s="2"/>
      <c r="R35" s="8"/>
      <c r="S35" s="2"/>
      <c r="T35" s="8"/>
      <c r="U35" s="2"/>
      <c r="V35" s="8"/>
      <c r="W35" s="2"/>
      <c r="X35" s="2"/>
      <c r="Y35" s="2"/>
      <c r="Z35" s="8"/>
      <c r="AA35" s="2"/>
      <c r="AB35" s="2"/>
      <c r="AC35" s="2"/>
      <c r="AD35" s="2"/>
      <c r="AE35" s="2"/>
    </row>
    <row r="36" spans="1:31">
      <c r="A36" s="4"/>
      <c r="B36" s="75"/>
      <c r="C36" s="76"/>
      <c r="D36" s="4"/>
      <c r="E36" s="2"/>
      <c r="F36" s="2"/>
      <c r="G36" s="4"/>
      <c r="L36" s="1"/>
      <c r="M36" s="2"/>
      <c r="N36" s="23"/>
      <c r="O36" s="1"/>
      <c r="P36" s="8"/>
      <c r="Q36" s="2"/>
      <c r="R36" s="8"/>
      <c r="S36" s="2"/>
      <c r="T36" s="8"/>
      <c r="U36" s="2"/>
      <c r="V36" s="8"/>
      <c r="W36" s="2"/>
      <c r="X36" s="2"/>
      <c r="Y36" s="2"/>
      <c r="Z36" s="8"/>
      <c r="AA36" s="2"/>
      <c r="AB36" s="2"/>
      <c r="AC36" s="2"/>
      <c r="AD36" s="2"/>
      <c r="AE36" s="2"/>
    </row>
    <row r="37" spans="1:31">
      <c r="D37" s="4"/>
      <c r="E37" s="2"/>
      <c r="F37" s="2"/>
      <c r="G37" s="16" t="s">
        <v>42</v>
      </c>
      <c r="H37" s="25" t="s">
        <v>26</v>
      </c>
      <c r="I37" s="25"/>
      <c r="J37" s="25"/>
      <c r="K37" s="25"/>
      <c r="L37" s="10">
        <f>SUM(L4:L30)</f>
        <v>72</v>
      </c>
      <c r="M37" s="10">
        <f>SUM(M4:M30)</f>
        <v>0</v>
      </c>
      <c r="N37" s="10"/>
      <c r="O37" s="10">
        <f>SUM(O4:O30)</f>
        <v>72</v>
      </c>
      <c r="P37" s="10">
        <f>SUM(P4:P36)+COUNTIF(P4:P36,"A")+COUNTIF(P4:P36,"M")</f>
        <v>0</v>
      </c>
      <c r="Q37" s="10">
        <f t="shared" ref="Q37:AE37" si="9">SUM(Q4:Q36)+COUNTIF(Q4:Q36,"A")+COUNTIF(Q4:Q36,"M")</f>
        <v>0</v>
      </c>
      <c r="R37" s="10">
        <f t="shared" si="9"/>
        <v>0</v>
      </c>
      <c r="S37" s="10">
        <f t="shared" si="9"/>
        <v>0</v>
      </c>
      <c r="T37" s="10">
        <f t="shared" si="9"/>
        <v>0</v>
      </c>
      <c r="U37" s="10">
        <f t="shared" si="9"/>
        <v>0</v>
      </c>
      <c r="V37" s="10">
        <f t="shared" si="9"/>
        <v>0</v>
      </c>
      <c r="W37" s="10">
        <f t="shared" si="9"/>
        <v>0</v>
      </c>
      <c r="X37" s="10">
        <f t="shared" si="9"/>
        <v>0</v>
      </c>
      <c r="Y37" s="10">
        <f t="shared" si="9"/>
        <v>0</v>
      </c>
      <c r="Z37" s="10">
        <f t="shared" si="9"/>
        <v>0</v>
      </c>
      <c r="AA37" s="10">
        <f t="shared" si="9"/>
        <v>0</v>
      </c>
      <c r="AB37" s="10">
        <f t="shared" si="9"/>
        <v>0</v>
      </c>
      <c r="AC37" s="10">
        <f t="shared" si="9"/>
        <v>0</v>
      </c>
      <c r="AD37" s="10">
        <f t="shared" si="9"/>
        <v>0</v>
      </c>
      <c r="AE37" s="10">
        <f t="shared" si="9"/>
        <v>0</v>
      </c>
    </row>
    <row r="38" spans="1:31">
      <c r="F38" s="2"/>
      <c r="G38" s="4"/>
      <c r="H38" s="24" t="s">
        <v>26</v>
      </c>
      <c r="L38" s="1"/>
      <c r="M38" s="2"/>
      <c r="N38" s="1"/>
      <c r="O38" s="24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1:31">
      <c r="F39" s="2"/>
      <c r="G39" s="4"/>
      <c r="L39" s="1"/>
      <c r="M39" s="2"/>
      <c r="N39" s="1"/>
      <c r="O39" s="24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</row>
    <row r="40" spans="1:31">
      <c r="A40" s="4"/>
      <c r="B40" s="5"/>
      <c r="C40" s="6"/>
      <c r="F40" s="2"/>
      <c r="G40" s="17" t="s">
        <v>40</v>
      </c>
      <c r="L40" s="12" t="e">
        <f>L37/M37</f>
        <v>#DIV/0!</v>
      </c>
      <c r="M40" s="15"/>
      <c r="N40" s="12"/>
      <c r="O40" s="25"/>
      <c r="P40" s="18" t="e">
        <f>P37*$L$40</f>
        <v>#DIV/0!</v>
      </c>
      <c r="Q40" s="18" t="e">
        <f t="shared" ref="Q40:AE40" si="10">Q37*$L$40</f>
        <v>#DIV/0!</v>
      </c>
      <c r="R40" s="18" t="e">
        <f t="shared" si="10"/>
        <v>#DIV/0!</v>
      </c>
      <c r="S40" s="18" t="e">
        <f t="shared" si="10"/>
        <v>#DIV/0!</v>
      </c>
      <c r="T40" s="18" t="e">
        <f t="shared" si="10"/>
        <v>#DIV/0!</v>
      </c>
      <c r="U40" s="18" t="e">
        <f t="shared" si="10"/>
        <v>#DIV/0!</v>
      </c>
      <c r="V40" s="18" t="e">
        <f t="shared" si="10"/>
        <v>#DIV/0!</v>
      </c>
      <c r="W40" s="18" t="e">
        <f t="shared" si="10"/>
        <v>#DIV/0!</v>
      </c>
      <c r="X40" s="18" t="e">
        <f t="shared" si="10"/>
        <v>#DIV/0!</v>
      </c>
      <c r="Y40" s="18" t="e">
        <f t="shared" si="10"/>
        <v>#DIV/0!</v>
      </c>
      <c r="Z40" s="18" t="e">
        <f t="shared" si="10"/>
        <v>#DIV/0!</v>
      </c>
      <c r="AA40" s="18" t="e">
        <f t="shared" si="10"/>
        <v>#DIV/0!</v>
      </c>
      <c r="AB40" s="18" t="e">
        <f t="shared" si="10"/>
        <v>#DIV/0!</v>
      </c>
      <c r="AC40" s="18" t="e">
        <f t="shared" si="10"/>
        <v>#DIV/0!</v>
      </c>
      <c r="AD40" s="18" t="e">
        <f t="shared" si="10"/>
        <v>#DIV/0!</v>
      </c>
      <c r="AE40" s="18" t="e">
        <f t="shared" si="10"/>
        <v>#DIV/0!</v>
      </c>
    </row>
    <row r="41" spans="1:31">
      <c r="A41" s="4"/>
      <c r="B41" s="5"/>
      <c r="C41" s="6"/>
      <c r="F41" s="2"/>
      <c r="G41" s="4"/>
      <c r="L41" s="13"/>
      <c r="M41" s="2"/>
      <c r="N41" s="13"/>
      <c r="O41" s="24"/>
      <c r="P41" s="23">
        <f t="shared" ref="P41:V41" si="11">COUNTIF(P4:P30,"A")+COUNTIF(P4:P30,"M")</f>
        <v>0</v>
      </c>
      <c r="Q41" s="23">
        <f t="shared" si="11"/>
        <v>0</v>
      </c>
      <c r="R41" s="23">
        <f t="shared" si="11"/>
        <v>0</v>
      </c>
      <c r="S41" s="23">
        <f t="shared" si="11"/>
        <v>0</v>
      </c>
      <c r="T41" s="23">
        <f t="shared" si="11"/>
        <v>0</v>
      </c>
      <c r="U41" s="23">
        <f t="shared" si="11"/>
        <v>0</v>
      </c>
      <c r="V41" s="23">
        <f t="shared" si="11"/>
        <v>0</v>
      </c>
      <c r="W41" s="23">
        <f>COUNTIF(W4:W30,"A")+COUNTIF(W4:W30,"M")</f>
        <v>0</v>
      </c>
      <c r="X41" s="23">
        <f t="shared" ref="X41:AE41" si="12">COUNTIF(X4:X30,"A")+COUNTIF(X4:X30,"M")</f>
        <v>0</v>
      </c>
      <c r="Y41" s="23">
        <f t="shared" si="12"/>
        <v>0</v>
      </c>
      <c r="Z41" s="23">
        <f t="shared" si="12"/>
        <v>0</v>
      </c>
      <c r="AA41" s="23">
        <f t="shared" si="12"/>
        <v>0</v>
      </c>
      <c r="AB41" s="23">
        <f t="shared" si="12"/>
        <v>0</v>
      </c>
      <c r="AC41" s="23">
        <f t="shared" si="12"/>
        <v>0</v>
      </c>
      <c r="AD41" s="23">
        <f t="shared" si="12"/>
        <v>0</v>
      </c>
      <c r="AE41" s="23">
        <f t="shared" si="12"/>
        <v>0</v>
      </c>
    </row>
    <row r="42" spans="1:31">
      <c r="A42" s="4"/>
      <c r="B42" s="5"/>
      <c r="C42" s="6"/>
      <c r="F42" s="2"/>
      <c r="G42" s="39" t="s">
        <v>41</v>
      </c>
      <c r="L42" s="14"/>
      <c r="M42" s="15"/>
      <c r="N42" s="14"/>
      <c r="O42" s="25"/>
      <c r="P42" s="13" t="e">
        <f>P40-P41</f>
        <v>#DIV/0!</v>
      </c>
      <c r="Q42" s="13" t="e">
        <f t="shared" ref="Q42:AE42" si="13">Q40-Q41</f>
        <v>#DIV/0!</v>
      </c>
      <c r="R42" s="13" t="e">
        <f t="shared" si="13"/>
        <v>#DIV/0!</v>
      </c>
      <c r="S42" s="13" t="e">
        <f t="shared" si="13"/>
        <v>#DIV/0!</v>
      </c>
      <c r="T42" s="13" t="e">
        <f t="shared" si="13"/>
        <v>#DIV/0!</v>
      </c>
      <c r="U42" s="13" t="e">
        <f t="shared" si="13"/>
        <v>#DIV/0!</v>
      </c>
      <c r="V42" s="13" t="e">
        <f t="shared" si="13"/>
        <v>#DIV/0!</v>
      </c>
      <c r="W42" s="13" t="e">
        <f t="shared" si="13"/>
        <v>#DIV/0!</v>
      </c>
      <c r="X42" s="13" t="e">
        <f t="shared" si="13"/>
        <v>#DIV/0!</v>
      </c>
      <c r="Y42" s="13" t="e">
        <f t="shared" si="13"/>
        <v>#DIV/0!</v>
      </c>
      <c r="Z42" s="13" t="e">
        <f t="shared" si="13"/>
        <v>#DIV/0!</v>
      </c>
      <c r="AA42" s="13" t="e">
        <f t="shared" si="13"/>
        <v>#DIV/0!</v>
      </c>
      <c r="AB42" s="13" t="e">
        <f t="shared" si="13"/>
        <v>#DIV/0!</v>
      </c>
      <c r="AC42" s="13" t="e">
        <f t="shared" si="13"/>
        <v>#DIV/0!</v>
      </c>
      <c r="AD42" s="13" t="e">
        <f t="shared" si="13"/>
        <v>#DIV/0!</v>
      </c>
      <c r="AE42" s="13" t="e">
        <f t="shared" si="13"/>
        <v>#DIV/0!</v>
      </c>
    </row>
  </sheetData>
  <autoFilter ref="A3:AE27">
    <filterColumn colId="7"/>
    <filterColumn colId="8"/>
    <filterColumn colId="9"/>
    <filterColumn colId="10"/>
  </autoFilter>
  <sortState ref="A6:AE56">
    <sortCondition ref="M4:M56"/>
  </sortState>
  <conditionalFormatting sqref="M34:M36">
    <cfRule type="expression" dxfId="10" priority="43">
      <formula>M34&lt;L34</formula>
    </cfRule>
  </conditionalFormatting>
  <conditionalFormatting sqref="O4:O36">
    <cfRule type="expression" dxfId="9" priority="42">
      <formula>O4&gt;0</formula>
    </cfRule>
  </conditionalFormatting>
  <conditionalFormatting sqref="M34:M36">
    <cfRule type="expression" dxfId="8" priority="19">
      <formula>M34&lt;L34</formula>
    </cfRule>
  </conditionalFormatting>
  <conditionalFormatting sqref="N6:N14">
    <cfRule type="expression" dxfId="7" priority="53">
      <formula>N6&lt;G6</formula>
    </cfRule>
  </conditionalFormatting>
  <conditionalFormatting sqref="N4:N5">
    <cfRule type="expression" dxfId="6" priority="3">
      <formula>N4&lt;G4</formula>
    </cfRule>
  </conditionalFormatting>
  <conditionalFormatting sqref="N15:N33">
    <cfRule type="expression" dxfId="5" priority="2">
      <formula>N15&lt;G15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E31"/>
  <sheetViews>
    <sheetView workbookViewId="0">
      <pane ySplit="3" topLeftCell="A4" activePane="bottomLeft" state="frozen"/>
      <selection pane="bottomLeft" activeCell="P26" sqref="P26"/>
    </sheetView>
  </sheetViews>
  <sheetFormatPr defaultRowHeight="12.75"/>
  <cols>
    <col min="1" max="1" width="6.28515625" customWidth="1"/>
    <col min="2" max="2" width="9.42578125" bestFit="1" customWidth="1"/>
    <col min="3" max="3" width="6.5703125" customWidth="1"/>
    <col min="4" max="5" width="9.140625" hidden="1" customWidth="1"/>
    <col min="6" max="6" width="8.42578125" customWidth="1"/>
    <col min="7" max="7" width="31.42578125" customWidth="1"/>
    <col min="8" max="11" width="7" style="24" customWidth="1"/>
    <col min="12" max="12" width="9.5703125" customWidth="1"/>
    <col min="13" max="13" width="7.85546875" customWidth="1"/>
    <col min="14" max="14" width="9.140625" customWidth="1"/>
    <col min="16" max="16" width="7" customWidth="1"/>
    <col min="17" max="17" width="7.42578125" customWidth="1"/>
    <col min="18" max="18" width="6.85546875" customWidth="1"/>
    <col min="19" max="19" width="7.140625" customWidth="1"/>
    <col min="20" max="20" width="7.42578125" customWidth="1"/>
    <col min="21" max="21" width="7.28515625" customWidth="1"/>
    <col min="22" max="22" width="7.140625" customWidth="1"/>
    <col min="23" max="24" width="6.85546875" customWidth="1"/>
    <col min="25" max="25" width="7" customWidth="1"/>
    <col min="26" max="26" width="6.5703125" customWidth="1"/>
    <col min="27" max="27" width="7.42578125" customWidth="1"/>
    <col min="28" max="29" width="6.85546875" customWidth="1"/>
    <col min="30" max="30" width="7.7109375" customWidth="1"/>
    <col min="31" max="31" width="7.28515625" customWidth="1"/>
  </cols>
  <sheetData>
    <row r="1" spans="1:31" s="63" customFormat="1" ht="12">
      <c r="G1" s="64" t="s">
        <v>41</v>
      </c>
      <c r="H1" s="65"/>
      <c r="I1" s="65"/>
      <c r="J1" s="65"/>
      <c r="K1" s="65"/>
      <c r="L1" s="66"/>
      <c r="P1" s="67" t="e">
        <f>P29-P30</f>
        <v>#DIV/0!</v>
      </c>
      <c r="Q1" s="67" t="e">
        <f t="shared" ref="Q1:AE1" si="0">Q29-Q30</f>
        <v>#DIV/0!</v>
      </c>
      <c r="R1" s="67" t="e">
        <f t="shared" si="0"/>
        <v>#DIV/0!</v>
      </c>
      <c r="S1" s="67" t="e">
        <f t="shared" si="0"/>
        <v>#DIV/0!</v>
      </c>
      <c r="T1" s="67" t="e">
        <f t="shared" si="0"/>
        <v>#DIV/0!</v>
      </c>
      <c r="U1" s="67" t="e">
        <f t="shared" si="0"/>
        <v>#DIV/0!</v>
      </c>
      <c r="V1" s="67" t="e">
        <f t="shared" si="0"/>
        <v>#DIV/0!</v>
      </c>
      <c r="W1" s="67" t="e">
        <f t="shared" si="0"/>
        <v>#DIV/0!</v>
      </c>
      <c r="X1" s="67" t="e">
        <f t="shared" si="0"/>
        <v>#DIV/0!</v>
      </c>
      <c r="Y1" s="67" t="e">
        <f t="shared" si="0"/>
        <v>#DIV/0!</v>
      </c>
      <c r="Z1" s="67" t="e">
        <f t="shared" si="0"/>
        <v>#DIV/0!</v>
      </c>
      <c r="AA1" s="67" t="e">
        <f t="shared" si="0"/>
        <v>#DIV/0!</v>
      </c>
      <c r="AB1" s="67" t="e">
        <f t="shared" si="0"/>
        <v>#DIV/0!</v>
      </c>
      <c r="AC1" s="67" t="e">
        <f t="shared" si="0"/>
        <v>#DIV/0!</v>
      </c>
      <c r="AD1" s="67" t="e">
        <f t="shared" si="0"/>
        <v>#DIV/0!</v>
      </c>
      <c r="AE1" s="67" t="e">
        <f t="shared" si="0"/>
        <v>#DIV/0!</v>
      </c>
    </row>
    <row r="2" spans="1:31">
      <c r="W2" t="s">
        <v>26</v>
      </c>
    </row>
    <row r="3" spans="1:31">
      <c r="A3" s="26" t="s">
        <v>0</v>
      </c>
      <c r="B3" s="27" t="s">
        <v>1</v>
      </c>
      <c r="C3" s="28" t="s">
        <v>2</v>
      </c>
      <c r="D3" s="3" t="s">
        <v>3</v>
      </c>
      <c r="E3" s="19" t="s">
        <v>4</v>
      </c>
      <c r="F3" s="33" t="s">
        <v>5</v>
      </c>
      <c r="G3" s="26" t="s">
        <v>6</v>
      </c>
      <c r="H3" s="40" t="s">
        <v>8</v>
      </c>
      <c r="I3" s="40" t="s">
        <v>39</v>
      </c>
      <c r="J3" s="40" t="s">
        <v>70</v>
      </c>
      <c r="K3" s="57" t="s">
        <v>69</v>
      </c>
      <c r="L3" s="41" t="s">
        <v>7</v>
      </c>
      <c r="M3" s="33" t="s">
        <v>25</v>
      </c>
      <c r="N3" s="41"/>
      <c r="O3" s="42" t="s">
        <v>38</v>
      </c>
      <c r="P3" s="33" t="s">
        <v>16</v>
      </c>
      <c r="Q3" s="33" t="s">
        <v>20</v>
      </c>
      <c r="R3" s="33" t="s">
        <v>24</v>
      </c>
      <c r="S3" s="33" t="s">
        <v>12</v>
      </c>
      <c r="T3" s="33" t="s">
        <v>23</v>
      </c>
      <c r="U3" s="33" t="s">
        <v>10</v>
      </c>
      <c r="V3" s="33" t="s">
        <v>21</v>
      </c>
      <c r="W3" s="33" t="s">
        <v>22</v>
      </c>
      <c r="X3" s="33" t="s">
        <v>14</v>
      </c>
      <c r="Y3" s="33" t="s">
        <v>11</v>
      </c>
      <c r="Z3" s="33" t="s">
        <v>15</v>
      </c>
      <c r="AA3" s="33" t="s">
        <v>19</v>
      </c>
      <c r="AB3" s="33" t="s">
        <v>9</v>
      </c>
      <c r="AC3" s="33" t="s">
        <v>18</v>
      </c>
      <c r="AD3" s="33" t="s">
        <v>13</v>
      </c>
      <c r="AE3" s="33" t="s">
        <v>17</v>
      </c>
    </row>
    <row r="4" spans="1:31">
      <c r="A4" s="4" t="s">
        <v>27</v>
      </c>
      <c r="B4" s="75">
        <v>42248</v>
      </c>
      <c r="C4" s="76" t="s">
        <v>71</v>
      </c>
      <c r="D4" s="3"/>
      <c r="E4" s="19"/>
      <c r="F4" s="7">
        <v>0.75</v>
      </c>
      <c r="G4" s="35" t="s">
        <v>72</v>
      </c>
      <c r="H4" s="56" t="s">
        <v>35</v>
      </c>
      <c r="I4" s="56"/>
      <c r="J4" s="56"/>
      <c r="K4" s="56"/>
      <c r="L4" s="54">
        <f t="shared" ref="L4:L8" si="1">IF(C4="P&amp;G",4,1)+IF(I4="M",1,0)+J4+K4</f>
        <v>1</v>
      </c>
      <c r="M4" s="8">
        <f t="shared" ref="M4:M8" si="2">SUM(P4:AE4)+COUNTIF(P4:AE4,"A")</f>
        <v>0</v>
      </c>
      <c r="N4" s="23">
        <f t="shared" ref="N4:N6" si="3">COUNTIF(P4:AE4,"A")</f>
        <v>0</v>
      </c>
      <c r="O4" s="1">
        <f t="shared" ref="O4:O5" si="4">L4-N4</f>
        <v>1</v>
      </c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</row>
    <row r="5" spans="1:31" ht="11.25" customHeight="1">
      <c r="A5" s="4" t="s">
        <v>34</v>
      </c>
      <c r="B5" s="75">
        <v>42250</v>
      </c>
      <c r="C5" s="76" t="s">
        <v>31</v>
      </c>
      <c r="D5" s="3"/>
      <c r="E5" s="19"/>
      <c r="F5" s="7">
        <v>0.75</v>
      </c>
      <c r="G5" s="35" t="s">
        <v>73</v>
      </c>
      <c r="H5" s="56" t="s">
        <v>35</v>
      </c>
      <c r="I5" s="56"/>
      <c r="J5" s="56"/>
      <c r="K5" s="56"/>
      <c r="L5" s="54">
        <f t="shared" si="1"/>
        <v>4</v>
      </c>
      <c r="M5" s="8">
        <f t="shared" si="2"/>
        <v>0</v>
      </c>
      <c r="N5" s="23">
        <f t="shared" si="3"/>
        <v>0</v>
      </c>
      <c r="O5" s="1">
        <f t="shared" si="4"/>
        <v>4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</row>
    <row r="6" spans="1:31" s="71" customFormat="1">
      <c r="A6" s="9" t="s">
        <v>27</v>
      </c>
      <c r="B6" s="77">
        <v>42255</v>
      </c>
      <c r="C6" s="76" t="s">
        <v>31</v>
      </c>
      <c r="D6" s="58"/>
      <c r="E6" s="59"/>
      <c r="F6" s="7">
        <v>0.8125</v>
      </c>
      <c r="G6" s="35" t="s">
        <v>74</v>
      </c>
      <c r="H6" s="61" t="s">
        <v>35</v>
      </c>
      <c r="I6" s="61"/>
      <c r="J6" s="61"/>
      <c r="K6" s="61">
        <v>1</v>
      </c>
      <c r="L6" s="54">
        <f t="shared" si="1"/>
        <v>5</v>
      </c>
      <c r="M6" s="8">
        <f t="shared" si="2"/>
        <v>0</v>
      </c>
      <c r="N6" s="23">
        <f t="shared" si="3"/>
        <v>0</v>
      </c>
      <c r="O6" s="1">
        <f>L6-N6</f>
        <v>5</v>
      </c>
      <c r="P6" s="68"/>
      <c r="Q6" s="60"/>
      <c r="R6" s="60"/>
      <c r="S6" s="68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</row>
    <row r="7" spans="1:31" s="73" customFormat="1">
      <c r="A7" s="4" t="s">
        <v>33</v>
      </c>
      <c r="B7" s="75">
        <v>42256</v>
      </c>
      <c r="C7" s="76" t="s">
        <v>31</v>
      </c>
      <c r="F7" s="7">
        <v>0.8125</v>
      </c>
      <c r="G7" s="35" t="s">
        <v>76</v>
      </c>
      <c r="H7" s="8" t="s">
        <v>35</v>
      </c>
      <c r="I7" s="8"/>
      <c r="J7" s="8"/>
      <c r="K7" s="74"/>
      <c r="L7" s="54">
        <f t="shared" si="1"/>
        <v>4</v>
      </c>
      <c r="M7" s="8">
        <f t="shared" si="2"/>
        <v>0</v>
      </c>
      <c r="N7" s="23">
        <f>COUNTIF(P7:AE7,"A")</f>
        <v>0</v>
      </c>
      <c r="O7" s="1">
        <f>L7-N7</f>
        <v>4</v>
      </c>
      <c r="P7" s="69"/>
      <c r="Q7" s="69"/>
      <c r="R7" s="36"/>
      <c r="S7" s="69"/>
      <c r="T7" s="69"/>
      <c r="U7" s="8"/>
      <c r="V7" s="8"/>
      <c r="W7" s="8"/>
      <c r="X7" s="36"/>
      <c r="Y7" s="8"/>
      <c r="Z7" s="8"/>
      <c r="AA7" s="8"/>
      <c r="AB7" s="8"/>
      <c r="AC7" s="8"/>
      <c r="AD7" s="8"/>
      <c r="AE7" s="8"/>
    </row>
    <row r="8" spans="1:31" s="73" customFormat="1">
      <c r="A8" s="4" t="s">
        <v>34</v>
      </c>
      <c r="B8" s="75">
        <v>42257</v>
      </c>
      <c r="C8" s="76" t="s">
        <v>31</v>
      </c>
      <c r="D8" s="36"/>
      <c r="E8" s="36"/>
      <c r="F8" s="7">
        <v>0.8125</v>
      </c>
      <c r="G8" s="35" t="s">
        <v>76</v>
      </c>
      <c r="H8" s="8" t="s">
        <v>35</v>
      </c>
      <c r="I8" s="8"/>
      <c r="J8" s="81"/>
      <c r="K8" s="74"/>
      <c r="L8" s="54">
        <f t="shared" si="1"/>
        <v>4</v>
      </c>
      <c r="M8" s="8">
        <f t="shared" si="2"/>
        <v>0</v>
      </c>
      <c r="N8" s="23">
        <f t="shared" ref="N8:N22" si="5">COUNTIF(P8:AE8,"A")</f>
        <v>0</v>
      </c>
      <c r="O8" s="1">
        <f t="shared" ref="O8:O22" si="6">L8-N8</f>
        <v>4</v>
      </c>
      <c r="P8" s="69"/>
      <c r="Q8" s="8"/>
      <c r="R8" s="8"/>
      <c r="S8" s="69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s="71" customFormat="1">
      <c r="A9" s="4" t="s">
        <v>32</v>
      </c>
      <c r="B9" s="75">
        <v>42258</v>
      </c>
      <c r="C9" s="76" t="s">
        <v>31</v>
      </c>
      <c r="D9" s="9"/>
      <c r="E9" s="9"/>
      <c r="F9" s="7">
        <v>0.83333333333333337</v>
      </c>
      <c r="G9" s="35" t="s">
        <v>76</v>
      </c>
      <c r="H9" s="2" t="s">
        <v>35</v>
      </c>
      <c r="I9" s="2"/>
      <c r="J9" s="82">
        <v>1</v>
      </c>
      <c r="K9" s="72"/>
      <c r="L9" s="54">
        <f>IF(C9="P&amp;G",4,1)+IF(I9="M",1,0)+J9+K9</f>
        <v>5</v>
      </c>
      <c r="M9" s="8">
        <f>SUM(P9:AE9)+COUNTIF(P9:AE9,"A")</f>
        <v>0</v>
      </c>
      <c r="N9" s="23">
        <f t="shared" si="5"/>
        <v>0</v>
      </c>
      <c r="O9" s="1">
        <f t="shared" si="6"/>
        <v>5</v>
      </c>
      <c r="P9" s="8"/>
      <c r="Q9" s="8"/>
      <c r="R9" s="8"/>
      <c r="S9" s="70"/>
      <c r="T9" s="8"/>
      <c r="U9" s="2"/>
      <c r="V9" s="8"/>
      <c r="W9" s="2"/>
      <c r="X9" s="2"/>
      <c r="Y9" s="2"/>
      <c r="Z9" s="8"/>
      <c r="AA9" s="2"/>
      <c r="AB9" s="2"/>
      <c r="AC9" s="2"/>
      <c r="AD9" s="2"/>
      <c r="AE9" s="2"/>
    </row>
    <row r="10" spans="1:31">
      <c r="A10" s="4" t="s">
        <v>30</v>
      </c>
      <c r="B10" s="75">
        <v>42259</v>
      </c>
      <c r="C10" s="76" t="s">
        <v>31</v>
      </c>
      <c r="D10" s="35"/>
      <c r="E10" s="35"/>
      <c r="F10" s="7">
        <v>0.58333333333333337</v>
      </c>
      <c r="G10" s="35" t="s">
        <v>76</v>
      </c>
      <c r="H10" s="24" t="s">
        <v>36</v>
      </c>
      <c r="J10" s="82">
        <v>1</v>
      </c>
      <c r="L10" s="54">
        <f t="shared" ref="L10:L22" si="7">IF(C10="P&amp;G",4,1)+IF(I10="M",1,0)+J10+K10</f>
        <v>5</v>
      </c>
      <c r="M10" s="8">
        <f t="shared" ref="M10:M22" si="8">SUM(P10:AE10)+COUNTIF(P10:AE10,"A")</f>
        <v>0</v>
      </c>
      <c r="N10" s="23">
        <f t="shared" si="5"/>
        <v>0</v>
      </c>
      <c r="O10" s="1">
        <f t="shared" si="6"/>
        <v>5</v>
      </c>
      <c r="P10" s="8"/>
      <c r="Q10" s="8"/>
      <c r="R10" s="8"/>
      <c r="S10" s="2"/>
      <c r="T10" s="8"/>
      <c r="U10" s="2"/>
      <c r="V10" s="8"/>
      <c r="W10" s="2"/>
      <c r="X10" s="2"/>
      <c r="Y10" s="2"/>
      <c r="Z10" s="8"/>
      <c r="AA10" s="2"/>
      <c r="AB10" s="2"/>
      <c r="AC10" s="2"/>
      <c r="AD10" s="2"/>
      <c r="AE10" s="2"/>
    </row>
    <row r="11" spans="1:31">
      <c r="A11" s="4" t="s">
        <v>30</v>
      </c>
      <c r="B11" s="75">
        <v>42259</v>
      </c>
      <c r="C11" s="76" t="s">
        <v>31</v>
      </c>
      <c r="F11" s="7">
        <v>0.83333333333333337</v>
      </c>
      <c r="G11" s="35" t="s">
        <v>76</v>
      </c>
      <c r="H11" s="78" t="s">
        <v>36</v>
      </c>
      <c r="I11" s="37"/>
      <c r="J11" s="82">
        <v>1</v>
      </c>
      <c r="K11" s="37"/>
      <c r="L11" s="54">
        <f t="shared" si="7"/>
        <v>5</v>
      </c>
      <c r="M11" s="8">
        <f t="shared" si="8"/>
        <v>0</v>
      </c>
      <c r="N11" s="23">
        <f t="shared" si="5"/>
        <v>0</v>
      </c>
      <c r="O11" s="1">
        <f t="shared" si="6"/>
        <v>5</v>
      </c>
      <c r="P11" s="8"/>
      <c r="Q11" s="8"/>
      <c r="R11" s="8"/>
      <c r="S11" s="2"/>
      <c r="T11" s="8"/>
      <c r="U11" s="2"/>
      <c r="V11" s="8"/>
      <c r="W11" s="2"/>
      <c r="X11" s="2"/>
      <c r="Y11" s="2"/>
      <c r="Z11" s="8"/>
      <c r="AA11" s="2"/>
      <c r="AB11" s="2"/>
      <c r="AC11" s="2"/>
      <c r="AD11" s="2"/>
      <c r="AE11" s="2"/>
    </row>
    <row r="12" spans="1:31">
      <c r="A12" s="4" t="s">
        <v>29</v>
      </c>
      <c r="B12" s="75">
        <v>42260</v>
      </c>
      <c r="C12" s="76" t="s">
        <v>31</v>
      </c>
      <c r="F12" s="7">
        <v>0.54166666666666663</v>
      </c>
      <c r="G12" s="35" t="s">
        <v>76</v>
      </c>
      <c r="H12" s="78" t="s">
        <v>36</v>
      </c>
      <c r="I12" s="37"/>
      <c r="J12" s="82">
        <v>1</v>
      </c>
      <c r="K12" s="37"/>
      <c r="L12" s="54">
        <f t="shared" si="7"/>
        <v>5</v>
      </c>
      <c r="M12" s="8">
        <f t="shared" si="8"/>
        <v>0</v>
      </c>
      <c r="N12" s="23">
        <f t="shared" si="5"/>
        <v>0</v>
      </c>
      <c r="O12" s="1">
        <f t="shared" si="6"/>
        <v>5</v>
      </c>
      <c r="P12" s="8"/>
      <c r="Q12" s="8"/>
      <c r="R12" s="8"/>
      <c r="S12" s="2"/>
      <c r="T12" s="8"/>
      <c r="U12" s="2"/>
      <c r="V12" s="8"/>
      <c r="W12" s="2"/>
      <c r="X12" s="2"/>
      <c r="Y12" s="2"/>
      <c r="Z12" s="8"/>
      <c r="AA12" s="2"/>
      <c r="AB12" s="2"/>
      <c r="AC12" s="2"/>
      <c r="AD12" s="2"/>
      <c r="AE12" s="2"/>
    </row>
    <row r="13" spans="1:31">
      <c r="A13" s="4" t="s">
        <v>29</v>
      </c>
      <c r="B13" s="75">
        <v>42260</v>
      </c>
      <c r="C13" s="76" t="s">
        <v>31</v>
      </c>
      <c r="F13" s="7">
        <v>0.77083333333333337</v>
      </c>
      <c r="G13" s="35" t="s">
        <v>76</v>
      </c>
      <c r="H13" s="78" t="s">
        <v>36</v>
      </c>
      <c r="I13" s="37"/>
      <c r="J13" s="82"/>
      <c r="K13" s="37"/>
      <c r="L13" s="54">
        <f t="shared" si="7"/>
        <v>4</v>
      </c>
      <c r="M13" s="8">
        <f t="shared" si="8"/>
        <v>0</v>
      </c>
      <c r="N13" s="23">
        <f t="shared" si="5"/>
        <v>0</v>
      </c>
      <c r="O13" s="1">
        <f t="shared" si="6"/>
        <v>4</v>
      </c>
      <c r="P13" s="8"/>
      <c r="Q13" s="8"/>
      <c r="R13" s="8"/>
      <c r="S13" s="2"/>
      <c r="T13" s="8"/>
      <c r="U13" s="2"/>
      <c r="V13" s="8"/>
      <c r="W13" s="2"/>
      <c r="X13" s="2"/>
      <c r="Y13" s="2"/>
      <c r="Z13" s="8"/>
      <c r="AA13" s="2"/>
      <c r="AB13" s="2"/>
      <c r="AC13" s="2"/>
      <c r="AD13" s="2"/>
      <c r="AE13" s="2"/>
    </row>
    <row r="14" spans="1:31">
      <c r="A14" s="9" t="s">
        <v>27</v>
      </c>
      <c r="B14" s="77">
        <v>42262</v>
      </c>
      <c r="C14" s="76" t="s">
        <v>31</v>
      </c>
      <c r="F14" s="7">
        <v>0.8125</v>
      </c>
      <c r="G14" s="35" t="s">
        <v>76</v>
      </c>
      <c r="H14" s="78" t="s">
        <v>35</v>
      </c>
      <c r="I14" s="37"/>
      <c r="J14" s="82"/>
      <c r="K14" s="37"/>
      <c r="L14" s="54">
        <f t="shared" si="7"/>
        <v>4</v>
      </c>
      <c r="M14" s="8">
        <f t="shared" si="8"/>
        <v>0</v>
      </c>
      <c r="N14" s="23">
        <f t="shared" si="5"/>
        <v>0</v>
      </c>
      <c r="O14" s="1">
        <f t="shared" si="6"/>
        <v>4</v>
      </c>
      <c r="P14" s="8"/>
      <c r="Q14" s="8"/>
      <c r="R14" s="8"/>
      <c r="S14" s="2"/>
      <c r="T14" s="8"/>
      <c r="U14" s="2"/>
      <c r="V14" s="8"/>
      <c r="W14" s="2"/>
      <c r="X14" s="8"/>
      <c r="Y14" s="2"/>
      <c r="Z14" s="8"/>
      <c r="AA14" s="2"/>
      <c r="AB14" s="2"/>
      <c r="AC14" s="2"/>
      <c r="AD14" s="2"/>
      <c r="AE14" s="2"/>
    </row>
    <row r="15" spans="1:31">
      <c r="A15" s="4" t="s">
        <v>33</v>
      </c>
      <c r="B15" s="75">
        <v>42263</v>
      </c>
      <c r="C15" s="76" t="s">
        <v>31</v>
      </c>
      <c r="F15" s="7">
        <v>0.8125</v>
      </c>
      <c r="G15" s="35" t="s">
        <v>76</v>
      </c>
      <c r="H15" s="78" t="s">
        <v>35</v>
      </c>
      <c r="I15" s="37"/>
      <c r="J15" s="82">
        <v>1</v>
      </c>
      <c r="K15" s="37"/>
      <c r="L15" s="54">
        <f t="shared" si="7"/>
        <v>5</v>
      </c>
      <c r="M15" s="8">
        <f t="shared" si="8"/>
        <v>0</v>
      </c>
      <c r="N15" s="23">
        <f t="shared" si="5"/>
        <v>0</v>
      </c>
      <c r="O15" s="1">
        <f t="shared" si="6"/>
        <v>5</v>
      </c>
      <c r="P15" s="8"/>
      <c r="Q15" s="8"/>
      <c r="R15" s="8"/>
      <c r="S15" s="2"/>
      <c r="T15" s="8"/>
      <c r="U15" s="2"/>
      <c r="V15" s="8"/>
      <c r="W15" s="2"/>
      <c r="X15" s="8"/>
      <c r="Y15" s="2"/>
      <c r="Z15" s="8"/>
      <c r="AA15" s="2"/>
      <c r="AB15" s="8"/>
      <c r="AC15" s="2"/>
      <c r="AD15" s="2"/>
      <c r="AE15" s="2"/>
    </row>
    <row r="16" spans="1:31">
      <c r="A16" s="4" t="s">
        <v>34</v>
      </c>
      <c r="B16" s="75">
        <v>42264</v>
      </c>
      <c r="C16" s="76" t="s">
        <v>31</v>
      </c>
      <c r="F16" s="7">
        <v>0.8125</v>
      </c>
      <c r="G16" s="35" t="s">
        <v>76</v>
      </c>
      <c r="H16" s="78" t="s">
        <v>35</v>
      </c>
      <c r="I16" s="37"/>
      <c r="J16" s="82">
        <v>1</v>
      </c>
      <c r="K16" s="37"/>
      <c r="L16" s="54">
        <f t="shared" si="7"/>
        <v>5</v>
      </c>
      <c r="M16" s="8">
        <f t="shared" si="8"/>
        <v>0</v>
      </c>
      <c r="N16" s="23">
        <f t="shared" si="5"/>
        <v>0</v>
      </c>
      <c r="O16" s="1">
        <f t="shared" si="6"/>
        <v>5</v>
      </c>
      <c r="P16" s="8"/>
      <c r="Q16" s="8"/>
      <c r="R16" s="8"/>
      <c r="S16" s="2"/>
      <c r="T16" s="8"/>
      <c r="U16" s="2"/>
      <c r="V16" s="8"/>
      <c r="W16" s="2"/>
      <c r="X16" s="2"/>
      <c r="Y16" s="2"/>
      <c r="Z16" s="8"/>
      <c r="AA16" s="2"/>
      <c r="AB16" s="8"/>
      <c r="AC16" s="2"/>
      <c r="AD16" s="2"/>
      <c r="AE16" s="2"/>
    </row>
    <row r="17" spans="1:31">
      <c r="A17" s="4" t="s">
        <v>32</v>
      </c>
      <c r="B17" s="75">
        <v>42265</v>
      </c>
      <c r="C17" s="76" t="s">
        <v>31</v>
      </c>
      <c r="D17" s="4"/>
      <c r="E17" s="2"/>
      <c r="F17" s="7">
        <v>0.83333333333333337</v>
      </c>
      <c r="G17" s="35" t="s">
        <v>76</v>
      </c>
      <c r="H17" s="80" t="s">
        <v>35</v>
      </c>
      <c r="I17" s="21"/>
      <c r="J17" s="83">
        <v>1</v>
      </c>
      <c r="K17" s="21"/>
      <c r="L17" s="54">
        <f t="shared" si="7"/>
        <v>5</v>
      </c>
      <c r="M17" s="8">
        <f t="shared" si="8"/>
        <v>0</v>
      </c>
      <c r="N17" s="23">
        <f t="shared" si="5"/>
        <v>0</v>
      </c>
      <c r="O17" s="1">
        <f t="shared" si="6"/>
        <v>5</v>
      </c>
      <c r="P17" s="8"/>
      <c r="Q17" s="8"/>
      <c r="R17" s="8"/>
      <c r="S17" s="8"/>
      <c r="T17" s="8"/>
      <c r="U17" s="2"/>
      <c r="V17" s="8"/>
      <c r="W17" s="2"/>
      <c r="X17" s="2"/>
      <c r="Y17" s="2"/>
      <c r="Z17" s="8"/>
      <c r="AA17" s="2"/>
      <c r="AB17" s="2"/>
      <c r="AC17" s="2"/>
      <c r="AD17" s="2"/>
      <c r="AE17" s="2"/>
    </row>
    <row r="18" spans="1:31">
      <c r="A18" s="4" t="s">
        <v>30</v>
      </c>
      <c r="B18" s="75">
        <v>42266</v>
      </c>
      <c r="C18" s="76" t="s">
        <v>31</v>
      </c>
      <c r="D18" s="4"/>
      <c r="E18" s="2"/>
      <c r="F18" s="7">
        <v>0.58333333333333337</v>
      </c>
      <c r="G18" s="35" t="s">
        <v>76</v>
      </c>
      <c r="H18" s="81" t="s">
        <v>36</v>
      </c>
      <c r="I18" s="22"/>
      <c r="J18" s="81">
        <v>1</v>
      </c>
      <c r="K18" s="22"/>
      <c r="L18" s="54">
        <f t="shared" si="7"/>
        <v>5</v>
      </c>
      <c r="M18" s="8">
        <f t="shared" si="8"/>
        <v>0</v>
      </c>
      <c r="N18" s="23">
        <f t="shared" si="5"/>
        <v>0</v>
      </c>
      <c r="O18" s="1">
        <f t="shared" si="6"/>
        <v>5</v>
      </c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1:31">
      <c r="A19" s="4" t="s">
        <v>30</v>
      </c>
      <c r="B19" s="75">
        <v>42266</v>
      </c>
      <c r="C19" s="76" t="s">
        <v>31</v>
      </c>
      <c r="D19" s="4"/>
      <c r="E19" s="2"/>
      <c r="F19" s="7">
        <v>0.83333333333333337</v>
      </c>
      <c r="G19" s="35" t="s">
        <v>76</v>
      </c>
      <c r="H19" s="24" t="s">
        <v>36</v>
      </c>
      <c r="J19" s="82">
        <v>1</v>
      </c>
      <c r="L19" s="54">
        <f t="shared" si="7"/>
        <v>5</v>
      </c>
      <c r="M19" s="8">
        <f t="shared" si="8"/>
        <v>0</v>
      </c>
      <c r="N19" s="23">
        <f t="shared" si="5"/>
        <v>0</v>
      </c>
      <c r="O19" s="1">
        <f t="shared" si="6"/>
        <v>5</v>
      </c>
      <c r="P19" s="8" t="s">
        <v>26</v>
      </c>
      <c r="Q19" s="2" t="s">
        <v>26</v>
      </c>
      <c r="R19" s="8" t="s">
        <v>26</v>
      </c>
      <c r="S19" s="2"/>
      <c r="T19" s="8" t="s">
        <v>26</v>
      </c>
      <c r="U19" s="2"/>
      <c r="V19" s="8" t="s">
        <v>26</v>
      </c>
      <c r="W19" s="2" t="s">
        <v>26</v>
      </c>
      <c r="X19" s="2" t="s">
        <v>26</v>
      </c>
      <c r="Y19" s="2" t="s">
        <v>26</v>
      </c>
      <c r="Z19" s="8" t="s">
        <v>26</v>
      </c>
      <c r="AA19" s="2" t="s">
        <v>26</v>
      </c>
      <c r="AB19" s="2"/>
      <c r="AC19" s="2" t="s">
        <v>26</v>
      </c>
      <c r="AD19" s="2"/>
      <c r="AE19" s="2"/>
    </row>
    <row r="20" spans="1:31">
      <c r="A20" s="4" t="s">
        <v>29</v>
      </c>
      <c r="B20" s="75">
        <v>42267</v>
      </c>
      <c r="C20" s="76" t="s">
        <v>31</v>
      </c>
      <c r="D20" s="4"/>
      <c r="E20" s="2"/>
      <c r="F20" s="7">
        <v>0.54166666666666663</v>
      </c>
      <c r="G20" s="35" t="s">
        <v>76</v>
      </c>
      <c r="H20" s="24" t="s">
        <v>36</v>
      </c>
      <c r="J20" s="82"/>
      <c r="L20" s="54">
        <f t="shared" si="7"/>
        <v>4</v>
      </c>
      <c r="M20" s="8">
        <f t="shared" si="8"/>
        <v>0</v>
      </c>
      <c r="N20" s="23">
        <f t="shared" si="5"/>
        <v>0</v>
      </c>
      <c r="O20" s="1">
        <f t="shared" si="6"/>
        <v>4</v>
      </c>
      <c r="P20" s="8"/>
      <c r="Q20" s="2"/>
      <c r="R20" s="8"/>
      <c r="S20" s="2"/>
      <c r="T20" s="8"/>
      <c r="U20" s="2"/>
      <c r="V20" s="8"/>
      <c r="W20" s="2"/>
      <c r="X20" s="2"/>
      <c r="Y20" s="2"/>
      <c r="Z20" s="8"/>
      <c r="AA20" s="2"/>
      <c r="AB20" s="2"/>
      <c r="AC20" s="2"/>
      <c r="AD20" s="2"/>
      <c r="AE20" s="2"/>
    </row>
    <row r="21" spans="1:31">
      <c r="A21" s="4" t="s">
        <v>29</v>
      </c>
      <c r="B21" s="75">
        <v>42267</v>
      </c>
      <c r="C21" s="76" t="s">
        <v>31</v>
      </c>
      <c r="D21" s="4"/>
      <c r="E21" s="2"/>
      <c r="F21" s="7">
        <v>0.77083333333333337</v>
      </c>
      <c r="G21" s="35" t="s">
        <v>76</v>
      </c>
      <c r="H21" s="24" t="s">
        <v>36</v>
      </c>
      <c r="J21" s="2"/>
      <c r="L21" s="54">
        <f t="shared" si="7"/>
        <v>4</v>
      </c>
      <c r="M21" s="8">
        <f t="shared" si="8"/>
        <v>0</v>
      </c>
      <c r="N21" s="23">
        <f t="shared" si="5"/>
        <v>0</v>
      </c>
      <c r="O21" s="1">
        <f t="shared" si="6"/>
        <v>4</v>
      </c>
      <c r="P21" s="8"/>
      <c r="Q21" s="2"/>
      <c r="R21" s="8"/>
      <c r="S21" s="2"/>
      <c r="T21" s="8"/>
      <c r="U21" s="2"/>
      <c r="V21" s="8"/>
      <c r="W21" s="2"/>
      <c r="X21" s="2"/>
      <c r="Y21" s="2"/>
      <c r="Z21" s="8"/>
      <c r="AA21" s="2"/>
      <c r="AB21" s="2"/>
      <c r="AC21" s="2"/>
      <c r="AD21" s="2"/>
      <c r="AE21" s="2"/>
    </row>
    <row r="22" spans="1:31">
      <c r="A22" s="4" t="s">
        <v>33</v>
      </c>
      <c r="B22" s="75">
        <v>42277</v>
      </c>
      <c r="C22" s="6" t="s">
        <v>28</v>
      </c>
      <c r="D22" s="4"/>
      <c r="E22" s="2"/>
      <c r="F22" s="8"/>
      <c r="G22" s="9" t="s">
        <v>79</v>
      </c>
      <c r="H22" s="24" t="s">
        <v>37</v>
      </c>
      <c r="L22" s="54">
        <f t="shared" si="7"/>
        <v>1</v>
      </c>
      <c r="M22" s="8">
        <f t="shared" si="8"/>
        <v>0</v>
      </c>
      <c r="N22" s="23">
        <f t="shared" si="5"/>
        <v>0</v>
      </c>
      <c r="O22" s="1">
        <f t="shared" si="6"/>
        <v>1</v>
      </c>
      <c r="P22" s="8"/>
      <c r="Q22" s="2"/>
      <c r="R22" s="8"/>
      <c r="S22" s="2"/>
      <c r="T22" s="8"/>
      <c r="U22" s="2"/>
      <c r="V22" s="8"/>
      <c r="W22" s="2"/>
      <c r="X22" s="2"/>
      <c r="Y22" s="2"/>
      <c r="Z22" s="8"/>
      <c r="AA22" s="2"/>
      <c r="AB22" s="2"/>
      <c r="AC22" s="2"/>
      <c r="AD22" s="2"/>
      <c r="AE22" s="2"/>
    </row>
    <row r="23" spans="1:31">
      <c r="A23" s="4"/>
      <c r="B23" s="75"/>
      <c r="C23" s="76"/>
      <c r="D23" s="4"/>
      <c r="E23" s="2"/>
      <c r="F23" s="2"/>
      <c r="G23" s="4"/>
      <c r="L23" s="1"/>
      <c r="M23" s="2"/>
      <c r="N23" s="23"/>
      <c r="O23" s="1"/>
      <c r="P23" s="8"/>
      <c r="Q23" s="2"/>
      <c r="R23" s="8"/>
      <c r="S23" s="2"/>
      <c r="T23" s="8"/>
      <c r="U23" s="2"/>
      <c r="V23" s="8"/>
      <c r="W23" s="2"/>
      <c r="X23" s="2"/>
      <c r="Y23" s="2"/>
      <c r="Z23" s="8"/>
      <c r="AA23" s="2"/>
      <c r="AB23" s="2"/>
      <c r="AC23" s="2"/>
      <c r="AD23" s="2"/>
      <c r="AE23" s="2"/>
    </row>
    <row r="24" spans="1:31">
      <c r="A24" s="4"/>
      <c r="B24" s="75"/>
      <c r="C24" s="76"/>
      <c r="D24" s="4"/>
      <c r="E24" s="2"/>
      <c r="F24" s="2"/>
      <c r="G24" s="4"/>
      <c r="L24" s="1"/>
      <c r="M24" s="2"/>
      <c r="N24" s="23"/>
      <c r="O24" s="1"/>
      <c r="P24" s="8"/>
      <c r="Q24" s="2"/>
      <c r="R24" s="8"/>
      <c r="S24" s="2"/>
      <c r="T24" s="8"/>
      <c r="U24" s="2"/>
      <c r="V24" s="8"/>
      <c r="W24" s="2"/>
      <c r="X24" s="2"/>
      <c r="Y24" s="2"/>
      <c r="Z24" s="8"/>
      <c r="AA24" s="2"/>
      <c r="AB24" s="2"/>
      <c r="AC24" s="2"/>
      <c r="AD24" s="2"/>
      <c r="AE24" s="2"/>
    </row>
    <row r="25" spans="1:31">
      <c r="A25" s="4"/>
      <c r="B25" s="75"/>
      <c r="C25" s="76"/>
      <c r="D25" s="4"/>
      <c r="E25" s="2"/>
      <c r="F25" s="2"/>
      <c r="G25" s="4"/>
      <c r="L25" s="1"/>
      <c r="M25" s="2"/>
      <c r="N25" s="23"/>
      <c r="O25" s="1"/>
      <c r="P25" s="8"/>
      <c r="Q25" s="2"/>
      <c r="R25" s="8"/>
      <c r="S25" s="2"/>
      <c r="T25" s="8"/>
      <c r="U25" s="2"/>
      <c r="V25" s="8"/>
      <c r="W25" s="2"/>
      <c r="X25" s="2"/>
      <c r="Y25" s="2"/>
      <c r="Z25" s="8"/>
      <c r="AA25" s="2"/>
      <c r="AB25" s="2"/>
      <c r="AC25" s="2"/>
      <c r="AD25" s="2"/>
      <c r="AE25" s="2"/>
    </row>
    <row r="26" spans="1:31">
      <c r="D26" s="4"/>
      <c r="E26" s="2"/>
      <c r="F26" s="2"/>
      <c r="G26" s="16" t="s">
        <v>42</v>
      </c>
      <c r="H26" s="25" t="s">
        <v>26</v>
      </c>
      <c r="I26" s="25"/>
      <c r="J26" s="25"/>
      <c r="K26" s="25"/>
      <c r="L26" s="10">
        <f>SUM(L4:L19)</f>
        <v>71</v>
      </c>
      <c r="M26" s="10">
        <f>SUM(M4:M19)</f>
        <v>0</v>
      </c>
      <c r="N26" s="10"/>
      <c r="O26" s="10">
        <f>SUM(O4:O19)</f>
        <v>71</v>
      </c>
      <c r="P26" s="10">
        <f>SUM(P4:P25)+COUNTIF(P4:P25,"A")+COUNTIF(P4:P25,"M")</f>
        <v>0</v>
      </c>
      <c r="Q26" s="10">
        <f>SUM(Q4:Q25)+COUNTIF(Q4:Q25,"A")+COUNTIF(Q4:Q25,"M")</f>
        <v>0</v>
      </c>
      <c r="R26" s="10">
        <f>SUM(R4:R25)+COUNTIF(R4:R25,"A")+COUNTIF(R4:R25,"M")</f>
        <v>0</v>
      </c>
      <c r="S26" s="10">
        <f>SUM(S4:S25)+COUNTIF(S4:S25,"A")+COUNTIF(S4:S25,"M")</f>
        <v>0</v>
      </c>
      <c r="T26" s="10">
        <f>SUM(T4:T25)+COUNTIF(T4:T25,"A")+COUNTIF(T4:T25,"M")</f>
        <v>0</v>
      </c>
      <c r="U26" s="10">
        <f>SUM(U4:U25)+COUNTIF(U4:U25,"A")+COUNTIF(U4:U25,"M")</f>
        <v>0</v>
      </c>
      <c r="V26" s="10">
        <f>SUM(V4:V25)+COUNTIF(V4:V25,"A")+COUNTIF(V4:V25,"M")</f>
        <v>0</v>
      </c>
      <c r="W26" s="10">
        <f>SUM(W4:W25)+COUNTIF(W4:W25,"A")+COUNTIF(W4:W25,"M")</f>
        <v>0</v>
      </c>
      <c r="X26" s="10">
        <f>SUM(X4:X25)+COUNTIF(X4:X25,"A")+COUNTIF(X4:X25,"M")</f>
        <v>0</v>
      </c>
      <c r="Y26" s="10">
        <f>SUM(Y4:Y25)+COUNTIF(Y4:Y25,"A")+COUNTIF(Y4:Y25,"M")</f>
        <v>0</v>
      </c>
      <c r="Z26" s="10">
        <f>SUM(Z4:Z25)+COUNTIF(Z4:Z25,"A")+COUNTIF(Z4:Z25,"M")</f>
        <v>0</v>
      </c>
      <c r="AA26" s="10">
        <f>SUM(AA4:AA25)+COUNTIF(AA4:AA25,"A")+COUNTIF(AA4:AA25,"M")</f>
        <v>0</v>
      </c>
      <c r="AB26" s="10">
        <f>SUM(AB4:AB25)+COUNTIF(AB4:AB25,"A")+COUNTIF(AB4:AB25,"M")</f>
        <v>0</v>
      </c>
      <c r="AC26" s="10">
        <f>SUM(AC4:AC25)+COUNTIF(AC4:AC25,"A")+COUNTIF(AC4:AC25,"M")</f>
        <v>0</v>
      </c>
      <c r="AD26" s="10">
        <f>SUM(AD4:AD25)+COUNTIF(AD4:AD25,"A")+COUNTIF(AD4:AD25,"M")</f>
        <v>0</v>
      </c>
      <c r="AE26" s="10">
        <f>SUM(AE4:AE25)+COUNTIF(AE4:AE25,"A")+COUNTIF(AE4:AE25,"M")</f>
        <v>0</v>
      </c>
    </row>
    <row r="27" spans="1:31">
      <c r="F27" s="2"/>
      <c r="G27" s="4"/>
      <c r="H27" s="24" t="s">
        <v>26</v>
      </c>
      <c r="L27" s="1"/>
      <c r="M27" s="2"/>
      <c r="N27" s="1"/>
      <c r="O27" s="24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</row>
    <row r="28" spans="1:31">
      <c r="F28" s="2"/>
      <c r="G28" s="4"/>
      <c r="L28" s="1"/>
      <c r="M28" s="2"/>
      <c r="N28" s="1"/>
      <c r="O28" s="24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</row>
    <row r="29" spans="1:31">
      <c r="A29" s="4"/>
      <c r="B29" s="5"/>
      <c r="C29" s="6"/>
      <c r="F29" s="2"/>
      <c r="G29" s="17" t="s">
        <v>40</v>
      </c>
      <c r="L29" s="12" t="e">
        <f>L26/M26</f>
        <v>#DIV/0!</v>
      </c>
      <c r="M29" s="15"/>
      <c r="N29" s="12"/>
      <c r="O29" s="25"/>
      <c r="P29" s="18" t="e">
        <f>P26*$L$29</f>
        <v>#DIV/0!</v>
      </c>
      <c r="Q29" s="18" t="e">
        <f t="shared" ref="Q29:AE29" si="9">Q26*$L$29</f>
        <v>#DIV/0!</v>
      </c>
      <c r="R29" s="18" t="e">
        <f t="shared" si="9"/>
        <v>#DIV/0!</v>
      </c>
      <c r="S29" s="18" t="e">
        <f t="shared" si="9"/>
        <v>#DIV/0!</v>
      </c>
      <c r="T29" s="18" t="e">
        <f t="shared" si="9"/>
        <v>#DIV/0!</v>
      </c>
      <c r="U29" s="18" t="e">
        <f t="shared" si="9"/>
        <v>#DIV/0!</v>
      </c>
      <c r="V29" s="18" t="e">
        <f t="shared" si="9"/>
        <v>#DIV/0!</v>
      </c>
      <c r="W29" s="18" t="e">
        <f t="shared" si="9"/>
        <v>#DIV/0!</v>
      </c>
      <c r="X29" s="18" t="e">
        <f t="shared" si="9"/>
        <v>#DIV/0!</v>
      </c>
      <c r="Y29" s="18" t="e">
        <f t="shared" si="9"/>
        <v>#DIV/0!</v>
      </c>
      <c r="Z29" s="18" t="e">
        <f t="shared" si="9"/>
        <v>#DIV/0!</v>
      </c>
      <c r="AA29" s="18" t="e">
        <f t="shared" si="9"/>
        <v>#DIV/0!</v>
      </c>
      <c r="AB29" s="18" t="e">
        <f t="shared" si="9"/>
        <v>#DIV/0!</v>
      </c>
      <c r="AC29" s="18" t="e">
        <f t="shared" si="9"/>
        <v>#DIV/0!</v>
      </c>
      <c r="AD29" s="18" t="e">
        <f t="shared" si="9"/>
        <v>#DIV/0!</v>
      </c>
      <c r="AE29" s="18" t="e">
        <f t="shared" si="9"/>
        <v>#DIV/0!</v>
      </c>
    </row>
    <row r="30" spans="1:31">
      <c r="A30" s="4"/>
      <c r="B30" s="5"/>
      <c r="C30" s="6"/>
      <c r="F30" s="2"/>
      <c r="G30" s="4"/>
      <c r="L30" s="13"/>
      <c r="M30" s="2"/>
      <c r="N30" s="13"/>
      <c r="O30" s="24"/>
      <c r="P30" s="23">
        <f>COUNTIF(P4:P19,"A")+COUNTIF(P4:P19,"M")</f>
        <v>0</v>
      </c>
      <c r="Q30" s="23">
        <f>COUNTIF(Q4:Q19,"A")+COUNTIF(Q4:Q19,"M")</f>
        <v>0</v>
      </c>
      <c r="R30" s="23">
        <f>COUNTIF(R4:R19,"A")+COUNTIF(R4:R19,"M")</f>
        <v>0</v>
      </c>
      <c r="S30" s="23">
        <f>COUNTIF(S4:S19,"A")+COUNTIF(S4:S19,"M")</f>
        <v>0</v>
      </c>
      <c r="T30" s="23">
        <f>COUNTIF(T4:T19,"A")+COUNTIF(T4:T19,"M")</f>
        <v>0</v>
      </c>
      <c r="U30" s="23">
        <f>COUNTIF(U4:U19,"A")+COUNTIF(U4:U19,"M")</f>
        <v>0</v>
      </c>
      <c r="V30" s="23">
        <f>COUNTIF(V4:V19,"A")+COUNTIF(V4:V19,"M")</f>
        <v>0</v>
      </c>
      <c r="W30" s="23">
        <f>COUNTIF(W4:W19,"A")+COUNTIF(W4:W19,"M")</f>
        <v>0</v>
      </c>
      <c r="X30" s="23">
        <f>COUNTIF(X4:X19,"A")+COUNTIF(X4:X19,"M")</f>
        <v>0</v>
      </c>
      <c r="Y30" s="23">
        <f>COUNTIF(Y4:Y19,"A")+COUNTIF(Y4:Y19,"M")</f>
        <v>0</v>
      </c>
      <c r="Z30" s="23">
        <f>COUNTIF(Z4:Z19,"A")+COUNTIF(Z4:Z19,"M")</f>
        <v>0</v>
      </c>
      <c r="AA30" s="23">
        <f>COUNTIF(AA4:AA19,"A")+COUNTIF(AA4:AA19,"M")</f>
        <v>0</v>
      </c>
      <c r="AB30" s="23">
        <f>COUNTIF(AB4:AB19,"A")+COUNTIF(AB4:AB19,"M")</f>
        <v>0</v>
      </c>
      <c r="AC30" s="23">
        <f>COUNTIF(AC4:AC19,"A")+COUNTIF(AC4:AC19,"M")</f>
        <v>0</v>
      </c>
      <c r="AD30" s="23">
        <f>COUNTIF(AD4:AD19,"A")+COUNTIF(AD4:AD19,"M")</f>
        <v>0</v>
      </c>
      <c r="AE30" s="23">
        <f>COUNTIF(AE4:AE19,"A")+COUNTIF(AE4:AE19,"M")</f>
        <v>0</v>
      </c>
    </row>
    <row r="31" spans="1:31">
      <c r="A31" s="4"/>
      <c r="B31" s="5"/>
      <c r="C31" s="6"/>
      <c r="F31" s="2"/>
      <c r="G31" s="39" t="s">
        <v>41</v>
      </c>
      <c r="L31" s="14"/>
      <c r="M31" s="15"/>
      <c r="N31" s="14"/>
      <c r="O31" s="25"/>
      <c r="P31" s="13" t="e">
        <f>P29-P30</f>
        <v>#DIV/0!</v>
      </c>
      <c r="Q31" s="13" t="e">
        <f t="shared" ref="Q31:AE31" si="10">Q29-Q30</f>
        <v>#DIV/0!</v>
      </c>
      <c r="R31" s="13" t="e">
        <f t="shared" si="10"/>
        <v>#DIV/0!</v>
      </c>
      <c r="S31" s="13" t="e">
        <f t="shared" si="10"/>
        <v>#DIV/0!</v>
      </c>
      <c r="T31" s="13" t="e">
        <f t="shared" si="10"/>
        <v>#DIV/0!</v>
      </c>
      <c r="U31" s="13" t="e">
        <f t="shared" si="10"/>
        <v>#DIV/0!</v>
      </c>
      <c r="V31" s="13" t="e">
        <f t="shared" si="10"/>
        <v>#DIV/0!</v>
      </c>
      <c r="W31" s="13" t="e">
        <f t="shared" si="10"/>
        <v>#DIV/0!</v>
      </c>
      <c r="X31" s="13" t="e">
        <f t="shared" si="10"/>
        <v>#DIV/0!</v>
      </c>
      <c r="Y31" s="13" t="e">
        <f t="shared" si="10"/>
        <v>#DIV/0!</v>
      </c>
      <c r="Z31" s="13" t="e">
        <f t="shared" si="10"/>
        <v>#DIV/0!</v>
      </c>
      <c r="AA31" s="13" t="e">
        <f t="shared" si="10"/>
        <v>#DIV/0!</v>
      </c>
      <c r="AB31" s="13" t="e">
        <f t="shared" si="10"/>
        <v>#DIV/0!</v>
      </c>
      <c r="AC31" s="13" t="e">
        <f t="shared" si="10"/>
        <v>#DIV/0!</v>
      </c>
      <c r="AD31" s="13" t="e">
        <f t="shared" si="10"/>
        <v>#DIV/0!</v>
      </c>
      <c r="AE31" s="13" t="e">
        <f t="shared" si="10"/>
        <v>#DIV/0!</v>
      </c>
    </row>
  </sheetData>
  <autoFilter ref="A3:AE17">
    <filterColumn colId="7"/>
    <filterColumn colId="8"/>
    <filterColumn colId="9"/>
    <filterColumn colId="10"/>
  </autoFilter>
  <conditionalFormatting sqref="M23:M25">
    <cfRule type="expression" dxfId="4" priority="6">
      <formula>M23&lt;L23</formula>
    </cfRule>
  </conditionalFormatting>
  <conditionalFormatting sqref="O4:O25">
    <cfRule type="expression" dxfId="3" priority="5">
      <formula>O4&gt;0</formula>
    </cfRule>
  </conditionalFormatting>
  <conditionalFormatting sqref="M23:M25">
    <cfRule type="expression" dxfId="2" priority="4">
      <formula>M23&lt;L23</formula>
    </cfRule>
  </conditionalFormatting>
  <conditionalFormatting sqref="N6:N22">
    <cfRule type="expression" dxfId="1" priority="3">
      <formula>N6&lt;G6</formula>
    </cfRule>
  </conditionalFormatting>
  <conditionalFormatting sqref="N4:N5">
    <cfRule type="expression" dxfId="0" priority="2">
      <formula>N4&lt;G4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X63"/>
  <sheetViews>
    <sheetView workbookViewId="0">
      <selection activeCell="M34" sqref="M34"/>
    </sheetView>
  </sheetViews>
  <sheetFormatPr defaultRowHeight="12.75"/>
  <cols>
    <col min="1" max="1" width="6.28515625" customWidth="1"/>
    <col min="3" max="3" width="6.5703125" customWidth="1"/>
    <col min="4" max="5" width="9.140625" hidden="1" customWidth="1"/>
    <col min="6" max="6" width="8.42578125" customWidth="1"/>
    <col min="7" max="7" width="18.85546875" customWidth="1"/>
    <col min="8" max="8" width="7" style="24" customWidth="1"/>
    <col min="9" max="9" width="7" customWidth="1"/>
    <col min="10" max="10" width="7.42578125" customWidth="1"/>
    <col min="11" max="11" width="6.85546875" customWidth="1"/>
    <col min="12" max="12" width="7.140625" customWidth="1"/>
    <col min="13" max="13" width="7.42578125" customWidth="1"/>
    <col min="14" max="14" width="7.28515625" customWidth="1"/>
    <col min="15" max="15" width="7.140625" customWidth="1"/>
    <col min="16" max="17" width="6.85546875" customWidth="1"/>
    <col min="18" max="18" width="7" customWidth="1"/>
    <col min="19" max="19" width="6.5703125" customWidth="1"/>
    <col min="20" max="20" width="6.28515625" customWidth="1"/>
    <col min="21" max="22" width="6.85546875" customWidth="1"/>
    <col min="23" max="23" width="6.28515625" customWidth="1"/>
    <col min="24" max="24" width="7.28515625" customWidth="1"/>
  </cols>
  <sheetData>
    <row r="1" spans="1:24">
      <c r="A1" s="26" t="s">
        <v>0</v>
      </c>
      <c r="B1" s="27" t="s">
        <v>1</v>
      </c>
      <c r="C1" s="28" t="s">
        <v>2</v>
      </c>
      <c r="D1" s="3" t="s">
        <v>3</v>
      </c>
      <c r="E1" s="19" t="s">
        <v>4</v>
      </c>
      <c r="F1" s="33" t="s">
        <v>5</v>
      </c>
      <c r="G1" s="26" t="s">
        <v>6</v>
      </c>
      <c r="H1" s="40" t="s">
        <v>8</v>
      </c>
      <c r="I1" s="33" t="s">
        <v>16</v>
      </c>
      <c r="J1" s="33" t="s">
        <v>20</v>
      </c>
      <c r="K1" s="33" t="s">
        <v>24</v>
      </c>
      <c r="L1" s="33" t="s">
        <v>12</v>
      </c>
      <c r="M1" s="33" t="s">
        <v>23</v>
      </c>
      <c r="N1" s="33" t="s">
        <v>10</v>
      </c>
      <c r="O1" s="33" t="s">
        <v>21</v>
      </c>
      <c r="P1" s="33" t="s">
        <v>22</v>
      </c>
      <c r="Q1" s="33" t="s">
        <v>14</v>
      </c>
      <c r="R1" s="33" t="s">
        <v>11</v>
      </c>
      <c r="S1" s="33" t="s">
        <v>15</v>
      </c>
      <c r="T1" s="33" t="s">
        <v>19</v>
      </c>
      <c r="U1" s="33" t="s">
        <v>9</v>
      </c>
      <c r="V1" s="33" t="s">
        <v>18</v>
      </c>
      <c r="W1" s="33" t="s">
        <v>13</v>
      </c>
      <c r="X1" s="33" t="s">
        <v>17</v>
      </c>
    </row>
    <row r="2" spans="1:24">
      <c r="A2" s="35" t="s">
        <v>27</v>
      </c>
      <c r="B2" s="5">
        <v>42157</v>
      </c>
      <c r="C2" s="31" t="s">
        <v>31</v>
      </c>
      <c r="D2" s="35" t="s">
        <v>45</v>
      </c>
      <c r="E2" s="35"/>
      <c r="F2" s="7">
        <v>0.8125</v>
      </c>
      <c r="G2" s="35" t="s">
        <v>51</v>
      </c>
      <c r="H2" s="24" t="s">
        <v>35</v>
      </c>
      <c r="I2" s="8" t="s">
        <v>63</v>
      </c>
      <c r="J2" s="8" t="s">
        <v>65</v>
      </c>
      <c r="K2" s="8" t="s">
        <v>66</v>
      </c>
      <c r="L2" s="8" t="s">
        <v>67</v>
      </c>
      <c r="M2" s="8" t="s">
        <v>63</v>
      </c>
      <c r="N2" s="8" t="s">
        <v>63</v>
      </c>
      <c r="O2" s="8"/>
      <c r="P2" s="8" t="s">
        <v>63</v>
      </c>
      <c r="Q2" s="8"/>
      <c r="R2" s="8" t="s">
        <v>63</v>
      </c>
      <c r="S2" s="8" t="s">
        <v>68</v>
      </c>
      <c r="T2" s="8" t="s">
        <v>63</v>
      </c>
      <c r="U2" s="20"/>
      <c r="V2" s="8"/>
      <c r="W2" s="8"/>
      <c r="X2" s="8" t="s">
        <v>63</v>
      </c>
    </row>
    <row r="3" spans="1:24">
      <c r="A3" s="36" t="s">
        <v>33</v>
      </c>
      <c r="B3" s="45">
        <v>42158</v>
      </c>
      <c r="C3" s="49" t="s">
        <v>31</v>
      </c>
      <c r="D3" s="50" t="s">
        <v>44</v>
      </c>
      <c r="E3" s="50"/>
      <c r="F3" s="48">
        <v>0.8125</v>
      </c>
      <c r="G3" s="36" t="s">
        <v>51</v>
      </c>
      <c r="H3" s="24" t="s">
        <v>35</v>
      </c>
      <c r="I3" s="8"/>
      <c r="J3" s="8" t="s">
        <v>63</v>
      </c>
      <c r="K3" s="8"/>
      <c r="L3" s="8" t="s">
        <v>63</v>
      </c>
      <c r="M3" s="51" t="s">
        <v>67</v>
      </c>
      <c r="N3" s="8"/>
      <c r="O3" s="8"/>
      <c r="P3" s="8" t="s">
        <v>65</v>
      </c>
      <c r="Q3" s="8"/>
      <c r="R3" s="8" t="s">
        <v>66</v>
      </c>
      <c r="S3" s="8" t="s">
        <v>63</v>
      </c>
      <c r="T3" s="8" t="s">
        <v>63</v>
      </c>
      <c r="U3" s="8"/>
      <c r="V3" s="8"/>
      <c r="W3" s="8"/>
      <c r="X3" s="8" t="s">
        <v>68</v>
      </c>
    </row>
    <row r="4" spans="1:24">
      <c r="A4" s="36" t="s">
        <v>61</v>
      </c>
      <c r="B4" s="45">
        <v>42159</v>
      </c>
      <c r="C4" s="49" t="s">
        <v>31</v>
      </c>
      <c r="D4" s="50"/>
      <c r="E4" s="50"/>
      <c r="F4" s="48">
        <v>0.8125</v>
      </c>
      <c r="G4" s="36" t="s">
        <v>51</v>
      </c>
      <c r="H4" s="24" t="s">
        <v>35</v>
      </c>
      <c r="I4" s="8" t="s">
        <v>67</v>
      </c>
      <c r="J4" s="8" t="s">
        <v>68</v>
      </c>
      <c r="K4" s="8"/>
      <c r="L4" s="8" t="s">
        <v>65</v>
      </c>
      <c r="M4" s="8" t="s">
        <v>63</v>
      </c>
      <c r="N4" s="8" t="s">
        <v>63</v>
      </c>
      <c r="O4" s="8"/>
      <c r="P4" s="8" t="s">
        <v>63</v>
      </c>
      <c r="Q4" s="8" t="s">
        <v>63</v>
      </c>
      <c r="R4" s="8" t="s">
        <v>63</v>
      </c>
      <c r="S4" s="8" t="s">
        <v>66</v>
      </c>
      <c r="T4" s="8" t="s">
        <v>63</v>
      </c>
      <c r="U4" s="8"/>
      <c r="V4" s="8"/>
      <c r="W4" s="8"/>
      <c r="X4" s="8" t="s">
        <v>63</v>
      </c>
    </row>
    <row r="5" spans="1:24">
      <c r="A5" s="35" t="s">
        <v>34</v>
      </c>
      <c r="B5" s="5">
        <v>42159</v>
      </c>
      <c r="C5" s="6" t="s">
        <v>52</v>
      </c>
      <c r="D5" s="4" t="s">
        <v>46</v>
      </c>
      <c r="E5" s="4"/>
      <c r="F5" s="34">
        <v>0.8125</v>
      </c>
      <c r="G5" s="4" t="s">
        <v>53</v>
      </c>
      <c r="H5" s="24" t="s">
        <v>35</v>
      </c>
      <c r="I5" s="8" t="s">
        <v>63</v>
      </c>
      <c r="J5" s="8" t="s">
        <v>64</v>
      </c>
      <c r="K5" s="8"/>
      <c r="L5" s="8" t="s">
        <v>64</v>
      </c>
      <c r="M5" s="8" t="s">
        <v>64</v>
      </c>
      <c r="N5" s="52" t="s">
        <v>62</v>
      </c>
      <c r="O5" s="8"/>
      <c r="P5" s="8" t="s">
        <v>64</v>
      </c>
      <c r="Q5" s="8" t="s">
        <v>64</v>
      </c>
      <c r="R5" s="8" t="s">
        <v>64</v>
      </c>
      <c r="S5" s="8" t="s">
        <v>64</v>
      </c>
      <c r="T5" s="8" t="s">
        <v>64</v>
      </c>
      <c r="U5" s="8"/>
      <c r="V5" s="8"/>
      <c r="W5" s="8"/>
      <c r="X5" s="8" t="s">
        <v>64</v>
      </c>
    </row>
    <row r="6" spans="1:24">
      <c r="A6" s="36" t="s">
        <v>32</v>
      </c>
      <c r="B6" s="29">
        <v>42160</v>
      </c>
      <c r="C6" s="44" t="s">
        <v>31</v>
      </c>
      <c r="D6" s="36" t="s">
        <v>46</v>
      </c>
      <c r="E6" s="36"/>
      <c r="F6" s="34">
        <v>0.83333333333333337</v>
      </c>
      <c r="G6" s="9" t="s">
        <v>51</v>
      </c>
      <c r="H6" s="24" t="s">
        <v>35</v>
      </c>
      <c r="I6" s="8"/>
      <c r="J6" s="8" t="s">
        <v>63</v>
      </c>
      <c r="K6" s="8"/>
      <c r="L6" s="8" t="s">
        <v>63</v>
      </c>
      <c r="M6" s="8" t="s">
        <v>66</v>
      </c>
      <c r="N6" s="8" t="s">
        <v>63</v>
      </c>
      <c r="O6" s="8"/>
      <c r="P6" s="8"/>
      <c r="Q6" s="8"/>
      <c r="R6" s="8" t="s">
        <v>68</v>
      </c>
      <c r="S6" s="8" t="s">
        <v>65</v>
      </c>
      <c r="T6" s="8" t="s">
        <v>63</v>
      </c>
      <c r="U6" s="8"/>
      <c r="V6" s="8"/>
      <c r="W6" s="8"/>
      <c r="X6" s="8" t="s">
        <v>67</v>
      </c>
    </row>
    <row r="7" spans="1:24">
      <c r="A7" s="35" t="s">
        <v>32</v>
      </c>
      <c r="B7" s="5">
        <v>42160</v>
      </c>
      <c r="C7" s="6" t="s">
        <v>52</v>
      </c>
      <c r="D7" s="4" t="s">
        <v>44</v>
      </c>
      <c r="E7" s="4"/>
      <c r="F7" s="7">
        <v>0.8125</v>
      </c>
      <c r="G7" s="4" t="s">
        <v>53</v>
      </c>
      <c r="H7" s="24" t="s">
        <v>35</v>
      </c>
      <c r="I7" s="8"/>
      <c r="J7" s="8" t="s">
        <v>64</v>
      </c>
      <c r="K7" s="8"/>
      <c r="L7" s="8" t="s">
        <v>64</v>
      </c>
      <c r="M7" s="8" t="s">
        <v>64</v>
      </c>
      <c r="N7" s="8" t="s">
        <v>64</v>
      </c>
      <c r="O7" s="8"/>
      <c r="P7" s="8"/>
      <c r="Q7" s="8"/>
      <c r="R7" s="8" t="s">
        <v>64</v>
      </c>
      <c r="S7" s="8" t="s">
        <v>64</v>
      </c>
      <c r="T7" s="52" t="s">
        <v>62</v>
      </c>
      <c r="U7" s="8"/>
      <c r="V7" s="8"/>
      <c r="W7" s="8"/>
      <c r="X7" s="8" t="s">
        <v>64</v>
      </c>
    </row>
    <row r="8" spans="1:24">
      <c r="A8" s="35" t="s">
        <v>30</v>
      </c>
      <c r="B8" s="5">
        <v>42161</v>
      </c>
      <c r="C8" s="6" t="s">
        <v>31</v>
      </c>
      <c r="D8" s="4"/>
      <c r="E8" s="4"/>
      <c r="F8" s="7">
        <v>0.58333333333333337</v>
      </c>
      <c r="G8" s="4" t="s">
        <v>51</v>
      </c>
      <c r="H8" s="24" t="s">
        <v>36</v>
      </c>
      <c r="I8" s="8"/>
      <c r="J8" s="8" t="s">
        <v>66</v>
      </c>
      <c r="K8" s="8"/>
      <c r="L8" s="8" t="s">
        <v>63</v>
      </c>
      <c r="M8" s="8" t="s">
        <v>63</v>
      </c>
      <c r="N8" s="8" t="s">
        <v>67</v>
      </c>
      <c r="O8" s="8" t="s">
        <v>65</v>
      </c>
      <c r="P8" s="8" t="s">
        <v>68</v>
      </c>
      <c r="Q8" s="8"/>
      <c r="R8" s="8" t="s">
        <v>63</v>
      </c>
      <c r="S8" s="8" t="s">
        <v>63</v>
      </c>
      <c r="T8" s="8"/>
      <c r="U8" s="8" t="s">
        <v>63</v>
      </c>
      <c r="V8" s="8" t="s">
        <v>63</v>
      </c>
      <c r="W8" s="8"/>
      <c r="X8" s="8" t="s">
        <v>63</v>
      </c>
    </row>
    <row r="9" spans="1:24">
      <c r="A9" s="35" t="s">
        <v>30</v>
      </c>
      <c r="B9" s="5">
        <v>42161</v>
      </c>
      <c r="C9" s="6" t="s">
        <v>31</v>
      </c>
      <c r="D9" s="4" t="s">
        <v>43</v>
      </c>
      <c r="E9" s="4"/>
      <c r="F9" s="34">
        <v>0.83333333333333337</v>
      </c>
      <c r="G9" s="4" t="s">
        <v>51</v>
      </c>
      <c r="H9" s="24" t="s">
        <v>36</v>
      </c>
      <c r="I9" s="8"/>
      <c r="J9" s="8" t="s">
        <v>66</v>
      </c>
      <c r="K9" s="8"/>
      <c r="L9" s="8" t="s">
        <v>63</v>
      </c>
      <c r="M9" s="8" t="s">
        <v>63</v>
      </c>
      <c r="N9" s="8"/>
      <c r="O9" s="8" t="s">
        <v>65</v>
      </c>
      <c r="P9" s="8" t="s">
        <v>68</v>
      </c>
      <c r="Q9" s="8"/>
      <c r="R9" s="8" t="s">
        <v>63</v>
      </c>
      <c r="S9" s="8" t="s">
        <v>63</v>
      </c>
      <c r="T9" s="8" t="s">
        <v>67</v>
      </c>
      <c r="U9" s="8"/>
      <c r="V9" s="8" t="s">
        <v>63</v>
      </c>
      <c r="W9" s="8"/>
      <c r="X9" s="8"/>
    </row>
    <row r="10" spans="1:24">
      <c r="A10" s="35" t="s">
        <v>30</v>
      </c>
      <c r="B10" s="5">
        <v>42161</v>
      </c>
      <c r="C10" s="6" t="s">
        <v>52</v>
      </c>
      <c r="D10" s="4" t="s">
        <v>43</v>
      </c>
      <c r="E10" s="4"/>
      <c r="F10" s="34">
        <v>0.8125</v>
      </c>
      <c r="G10" s="4" t="s">
        <v>53</v>
      </c>
      <c r="H10" s="24" t="s">
        <v>35</v>
      </c>
      <c r="I10" s="8"/>
      <c r="J10" s="8" t="s">
        <v>64</v>
      </c>
      <c r="K10" s="8"/>
      <c r="L10" s="8" t="s">
        <v>64</v>
      </c>
      <c r="M10" s="52" t="s">
        <v>62</v>
      </c>
      <c r="N10" s="8"/>
      <c r="O10" s="8" t="s">
        <v>64</v>
      </c>
      <c r="P10" s="8" t="s">
        <v>64</v>
      </c>
      <c r="Q10" s="8"/>
      <c r="R10" s="8" t="s">
        <v>64</v>
      </c>
      <c r="S10" s="8" t="s">
        <v>64</v>
      </c>
      <c r="T10" s="8" t="s">
        <v>64</v>
      </c>
      <c r="U10" s="8"/>
      <c r="V10" s="8"/>
      <c r="W10" s="8"/>
      <c r="X10" s="8"/>
    </row>
    <row r="11" spans="1:24">
      <c r="A11" s="35" t="s">
        <v>29</v>
      </c>
      <c r="B11" s="5">
        <v>42162</v>
      </c>
      <c r="C11" s="31" t="s">
        <v>31</v>
      </c>
      <c r="D11" s="35" t="s">
        <v>44</v>
      </c>
      <c r="E11" s="35"/>
      <c r="F11" s="7">
        <v>0.54166666666666663</v>
      </c>
      <c r="G11" s="4" t="s">
        <v>51</v>
      </c>
      <c r="H11" s="24" t="s">
        <v>36</v>
      </c>
      <c r="I11" s="8"/>
      <c r="J11" s="8" t="s">
        <v>63</v>
      </c>
      <c r="K11" s="8"/>
      <c r="L11" s="8" t="s">
        <v>37</v>
      </c>
      <c r="M11" s="8" t="s">
        <v>67</v>
      </c>
      <c r="N11" s="8" t="s">
        <v>63</v>
      </c>
      <c r="O11" s="8"/>
      <c r="P11" s="8" t="s">
        <v>63</v>
      </c>
      <c r="Q11" s="8"/>
      <c r="R11" s="8" t="s">
        <v>65</v>
      </c>
      <c r="S11" s="8" t="s">
        <v>68</v>
      </c>
      <c r="T11" s="8"/>
      <c r="U11" s="8" t="s">
        <v>63</v>
      </c>
      <c r="V11" s="8" t="s">
        <v>66</v>
      </c>
      <c r="W11" s="8"/>
      <c r="X11" s="8"/>
    </row>
    <row r="12" spans="1:24">
      <c r="A12" s="35" t="s">
        <v>29</v>
      </c>
      <c r="B12" s="45">
        <v>42162</v>
      </c>
      <c r="C12" s="46" t="s">
        <v>31</v>
      </c>
      <c r="D12" s="47" t="s">
        <v>44</v>
      </c>
      <c r="E12" s="47"/>
      <c r="F12" s="48">
        <v>0.77083333333333337</v>
      </c>
      <c r="G12" s="4" t="s">
        <v>51</v>
      </c>
      <c r="H12" s="24" t="s">
        <v>36</v>
      </c>
      <c r="I12" s="8" t="s">
        <v>26</v>
      </c>
      <c r="J12" s="8" t="s">
        <v>63</v>
      </c>
      <c r="K12" s="8"/>
      <c r="L12" s="8" t="s">
        <v>37</v>
      </c>
      <c r="M12" s="8" t="s">
        <v>67</v>
      </c>
      <c r="N12" s="8"/>
      <c r="O12" s="8"/>
      <c r="P12" s="8" t="s">
        <v>63</v>
      </c>
      <c r="Q12" s="8"/>
      <c r="R12" s="8" t="s">
        <v>65</v>
      </c>
      <c r="S12" s="8" t="s">
        <v>68</v>
      </c>
      <c r="T12" s="8"/>
      <c r="U12" s="8" t="s">
        <v>63</v>
      </c>
      <c r="V12" s="8" t="s">
        <v>66</v>
      </c>
      <c r="W12" s="8"/>
      <c r="X12" s="8"/>
    </row>
    <row r="13" spans="1:24">
      <c r="A13" s="35" t="s">
        <v>29</v>
      </c>
      <c r="B13" s="5">
        <v>42162</v>
      </c>
      <c r="C13" s="31" t="s">
        <v>52</v>
      </c>
      <c r="D13" s="35" t="s">
        <v>47</v>
      </c>
      <c r="E13" s="35"/>
      <c r="F13" s="7">
        <v>0.58333333333333337</v>
      </c>
      <c r="G13" s="4" t="s">
        <v>53</v>
      </c>
      <c r="H13" s="24" t="s">
        <v>37</v>
      </c>
      <c r="I13" s="8"/>
      <c r="J13" s="8" t="s">
        <v>64</v>
      </c>
      <c r="K13" s="8"/>
      <c r="L13" s="8" t="s">
        <v>64</v>
      </c>
      <c r="M13" s="8" t="s">
        <v>64</v>
      </c>
      <c r="N13" s="52" t="s">
        <v>62</v>
      </c>
      <c r="O13" s="8"/>
      <c r="P13" s="8" t="s">
        <v>64</v>
      </c>
      <c r="Q13" s="8"/>
      <c r="R13" s="8" t="s">
        <v>64</v>
      </c>
      <c r="S13" s="8" t="s">
        <v>64</v>
      </c>
      <c r="T13" s="8"/>
      <c r="U13" s="8" t="s">
        <v>64</v>
      </c>
      <c r="V13" s="8" t="s">
        <v>64</v>
      </c>
      <c r="W13" s="8"/>
      <c r="X13" s="8"/>
    </row>
    <row r="14" spans="1:24">
      <c r="A14" s="35" t="s">
        <v>29</v>
      </c>
      <c r="B14" s="5">
        <v>42162</v>
      </c>
      <c r="C14" s="31" t="s">
        <v>28</v>
      </c>
      <c r="D14" s="35" t="s">
        <v>46</v>
      </c>
      <c r="E14" s="35"/>
      <c r="F14" s="7">
        <v>0.79166666666666663</v>
      </c>
      <c r="G14" s="4" t="s">
        <v>54</v>
      </c>
      <c r="H14" s="24" t="s">
        <v>35</v>
      </c>
      <c r="I14" s="8"/>
      <c r="J14" s="8" t="s">
        <v>64</v>
      </c>
      <c r="K14" s="8"/>
      <c r="L14" s="8" t="s">
        <v>64</v>
      </c>
      <c r="M14" s="8" t="s">
        <v>64</v>
      </c>
      <c r="N14" s="8"/>
      <c r="O14" s="8"/>
      <c r="P14" s="8" t="s">
        <v>64</v>
      </c>
      <c r="Q14" s="8"/>
      <c r="R14" s="8" t="s">
        <v>64</v>
      </c>
      <c r="S14" s="8" t="s">
        <v>64</v>
      </c>
      <c r="T14" s="8"/>
      <c r="U14" s="53" t="s">
        <v>62</v>
      </c>
      <c r="V14" s="8" t="s">
        <v>64</v>
      </c>
      <c r="W14" s="8"/>
      <c r="X14" s="8"/>
    </row>
    <row r="15" spans="1:24">
      <c r="A15" s="35" t="s">
        <v>48</v>
      </c>
      <c r="B15" s="45">
        <v>42163</v>
      </c>
      <c r="C15" s="46" t="s">
        <v>55</v>
      </c>
      <c r="D15" s="47" t="s">
        <v>44</v>
      </c>
      <c r="E15" s="47"/>
      <c r="F15" s="48">
        <v>0.70833333333333337</v>
      </c>
      <c r="G15" s="4" t="s">
        <v>56</v>
      </c>
      <c r="H15" s="24" t="s">
        <v>37</v>
      </c>
      <c r="I15" s="8"/>
      <c r="J15" s="8" t="s">
        <v>63</v>
      </c>
      <c r="K15" s="8"/>
      <c r="L15" s="8" t="s">
        <v>62</v>
      </c>
      <c r="M15" s="8"/>
      <c r="N15" s="8"/>
      <c r="O15" s="8" t="s">
        <v>63</v>
      </c>
      <c r="P15" s="8" t="s">
        <v>63</v>
      </c>
      <c r="Q15" s="8"/>
      <c r="R15" s="8" t="s">
        <v>63</v>
      </c>
      <c r="S15" s="8"/>
      <c r="T15" s="8"/>
      <c r="U15" s="8"/>
      <c r="V15" s="8"/>
      <c r="W15" s="8"/>
      <c r="X15" s="8"/>
    </row>
    <row r="16" spans="1:24">
      <c r="A16" s="35" t="s">
        <v>27</v>
      </c>
      <c r="B16" s="5">
        <v>42164</v>
      </c>
      <c r="C16" s="30" t="s">
        <v>31</v>
      </c>
      <c r="D16" s="9" t="s">
        <v>44</v>
      </c>
      <c r="E16" s="9"/>
      <c r="F16" s="34">
        <v>0.8125</v>
      </c>
      <c r="G16" s="9" t="s">
        <v>51</v>
      </c>
      <c r="H16" s="24" t="s">
        <v>35</v>
      </c>
      <c r="J16" s="8" t="s">
        <v>65</v>
      </c>
      <c r="K16" s="8"/>
      <c r="L16" s="8" t="s">
        <v>63</v>
      </c>
      <c r="M16" s="8"/>
      <c r="N16" s="8" t="s">
        <v>66</v>
      </c>
      <c r="O16" s="8" t="s">
        <v>63</v>
      </c>
      <c r="P16" s="8"/>
      <c r="Q16" s="51" t="s">
        <v>67</v>
      </c>
      <c r="R16" s="8" t="s">
        <v>63</v>
      </c>
      <c r="S16" s="8" t="s">
        <v>68</v>
      </c>
      <c r="T16" s="8" t="s">
        <v>63</v>
      </c>
      <c r="U16" s="8"/>
      <c r="V16" s="8"/>
      <c r="W16" s="8"/>
      <c r="X16" s="8" t="s">
        <v>63</v>
      </c>
    </row>
    <row r="17" spans="1:24">
      <c r="A17" s="35" t="s">
        <v>27</v>
      </c>
      <c r="B17" s="5">
        <v>42164</v>
      </c>
      <c r="C17" s="31" t="s">
        <v>52</v>
      </c>
      <c r="D17" s="35" t="s">
        <v>49</v>
      </c>
      <c r="E17" s="35"/>
      <c r="F17" s="7">
        <v>0.8125</v>
      </c>
      <c r="G17" s="35" t="s">
        <v>50</v>
      </c>
      <c r="H17" s="24" t="s">
        <v>35</v>
      </c>
      <c r="I17" s="8" t="s">
        <v>64</v>
      </c>
      <c r="J17" s="8" t="s">
        <v>64</v>
      </c>
      <c r="K17" s="8"/>
      <c r="L17" s="8" t="s">
        <v>64</v>
      </c>
      <c r="M17" s="8"/>
      <c r="N17" s="8" t="s">
        <v>64</v>
      </c>
      <c r="O17" s="8" t="s">
        <v>64</v>
      </c>
      <c r="P17" s="8"/>
      <c r="Q17" s="51" t="s">
        <v>64</v>
      </c>
      <c r="R17" s="8" t="s">
        <v>64</v>
      </c>
      <c r="S17" s="8" t="s">
        <v>64</v>
      </c>
      <c r="T17" s="52" t="s">
        <v>62</v>
      </c>
      <c r="U17" s="8"/>
      <c r="V17" s="8"/>
      <c r="W17" s="8"/>
      <c r="X17" s="8" t="s">
        <v>63</v>
      </c>
    </row>
    <row r="18" spans="1:24">
      <c r="A18" s="35" t="s">
        <v>33</v>
      </c>
      <c r="B18" s="5">
        <v>42165</v>
      </c>
      <c r="C18" s="6" t="s">
        <v>31</v>
      </c>
      <c r="D18" s="4" t="s">
        <v>44</v>
      </c>
      <c r="E18" s="4"/>
      <c r="F18" s="7">
        <v>0.8125</v>
      </c>
      <c r="G18" s="4" t="s">
        <v>51</v>
      </c>
      <c r="H18" s="24" t="s">
        <v>35</v>
      </c>
      <c r="I18" s="8" t="s">
        <v>67</v>
      </c>
      <c r="K18" s="8"/>
      <c r="L18" s="8" t="s">
        <v>65</v>
      </c>
      <c r="M18" s="8" t="s">
        <v>66</v>
      </c>
      <c r="N18" s="8" t="s">
        <v>63</v>
      </c>
      <c r="O18" s="51" t="s">
        <v>67</v>
      </c>
      <c r="P18" s="8" t="s">
        <v>63</v>
      </c>
      <c r="Q18" s="8" t="s">
        <v>63</v>
      </c>
      <c r="R18" s="8" t="s">
        <v>63</v>
      </c>
      <c r="S18" s="8" t="s">
        <v>63</v>
      </c>
      <c r="T18" s="8" t="s">
        <v>63</v>
      </c>
      <c r="U18" s="8"/>
      <c r="V18" s="8"/>
      <c r="W18" s="8"/>
      <c r="X18" s="8"/>
    </row>
    <row r="19" spans="1:24">
      <c r="A19" s="35" t="s">
        <v>33</v>
      </c>
      <c r="B19" s="5">
        <v>42165</v>
      </c>
      <c r="C19" s="6" t="s">
        <v>52</v>
      </c>
      <c r="D19" s="4" t="s">
        <v>44</v>
      </c>
      <c r="E19" s="4"/>
      <c r="F19" s="7">
        <v>0.8125</v>
      </c>
      <c r="G19" s="4" t="s">
        <v>50</v>
      </c>
      <c r="H19" s="24" t="s">
        <v>35</v>
      </c>
      <c r="I19" s="8" t="s">
        <v>64</v>
      </c>
      <c r="J19" s="8" t="s">
        <v>64</v>
      </c>
      <c r="K19" s="8"/>
      <c r="L19" s="8" t="s">
        <v>64</v>
      </c>
      <c r="M19" s="8" t="s">
        <v>64</v>
      </c>
      <c r="N19" s="8" t="s">
        <v>64</v>
      </c>
      <c r="O19" s="8" t="s">
        <v>64</v>
      </c>
      <c r="P19" s="8" t="s">
        <v>64</v>
      </c>
      <c r="Q19" s="52" t="s">
        <v>62</v>
      </c>
      <c r="R19" s="8" t="s">
        <v>64</v>
      </c>
      <c r="S19" s="8" t="s">
        <v>64</v>
      </c>
      <c r="T19" s="8" t="s">
        <v>64</v>
      </c>
      <c r="U19" s="8"/>
      <c r="V19" s="8"/>
      <c r="W19" s="8"/>
      <c r="X19" s="8"/>
    </row>
    <row r="20" spans="1:24">
      <c r="A20" s="35" t="s">
        <v>34</v>
      </c>
      <c r="B20" s="5">
        <v>42166</v>
      </c>
      <c r="C20" s="6" t="s">
        <v>31</v>
      </c>
      <c r="D20" s="4" t="s">
        <v>44</v>
      </c>
      <c r="E20" s="4"/>
      <c r="F20" s="7">
        <v>0.8125</v>
      </c>
      <c r="G20" s="4" t="s">
        <v>51</v>
      </c>
      <c r="H20" s="24" t="s">
        <v>35</v>
      </c>
      <c r="I20" s="8" t="s">
        <v>63</v>
      </c>
      <c r="J20" s="8" t="s">
        <v>63</v>
      </c>
      <c r="K20" s="8"/>
      <c r="L20" s="8" t="s">
        <v>63</v>
      </c>
      <c r="M20" s="8" t="s">
        <v>63</v>
      </c>
      <c r="N20" s="8" t="s">
        <v>66</v>
      </c>
      <c r="O20" s="8" t="s">
        <v>63</v>
      </c>
      <c r="P20" s="8" t="s">
        <v>65</v>
      </c>
      <c r="Q20" s="8"/>
      <c r="R20" s="8" t="s">
        <v>67</v>
      </c>
      <c r="S20" s="8" t="s">
        <v>68</v>
      </c>
      <c r="T20" s="8"/>
      <c r="U20" s="8"/>
      <c r="V20" s="8"/>
      <c r="W20" s="8"/>
      <c r="X20" s="8"/>
    </row>
    <row r="21" spans="1:24">
      <c r="A21" s="35" t="s">
        <v>34</v>
      </c>
      <c r="B21" s="5">
        <v>42166</v>
      </c>
      <c r="C21" s="6" t="s">
        <v>52</v>
      </c>
      <c r="D21" s="4" t="s">
        <v>44</v>
      </c>
      <c r="E21" s="4"/>
      <c r="F21" s="7">
        <v>0.8125</v>
      </c>
      <c r="G21" s="4" t="s">
        <v>53</v>
      </c>
      <c r="H21" s="24" t="s">
        <v>35</v>
      </c>
      <c r="I21" s="52" t="s">
        <v>62</v>
      </c>
      <c r="J21" s="8" t="s">
        <v>64</v>
      </c>
      <c r="K21" s="8"/>
      <c r="L21" s="8" t="s">
        <v>64</v>
      </c>
      <c r="M21" s="8" t="s">
        <v>64</v>
      </c>
      <c r="N21" s="8" t="s">
        <v>64</v>
      </c>
      <c r="O21" s="8" t="s">
        <v>64</v>
      </c>
      <c r="P21" s="8" t="s">
        <v>64</v>
      </c>
      <c r="Q21" s="8"/>
      <c r="R21" s="8" t="s">
        <v>64</v>
      </c>
      <c r="S21" s="8" t="s">
        <v>64</v>
      </c>
      <c r="T21" s="8"/>
      <c r="U21" s="8"/>
      <c r="V21" s="8"/>
      <c r="W21" s="8"/>
      <c r="X21" s="8"/>
    </row>
    <row r="22" spans="1:24">
      <c r="A22" s="35" t="s">
        <v>32</v>
      </c>
      <c r="B22" s="5">
        <v>42167</v>
      </c>
      <c r="C22" s="6" t="s">
        <v>31</v>
      </c>
      <c r="D22" s="4" t="s">
        <v>44</v>
      </c>
      <c r="E22" s="4"/>
      <c r="F22" s="7">
        <v>0.83333333333333337</v>
      </c>
      <c r="G22" s="4" t="s">
        <v>51</v>
      </c>
      <c r="H22" s="24" t="s">
        <v>35</v>
      </c>
      <c r="I22" s="8"/>
      <c r="J22" s="8" t="s">
        <v>68</v>
      </c>
      <c r="K22" s="8"/>
      <c r="L22" s="8" t="s">
        <v>63</v>
      </c>
      <c r="M22" s="8" t="s">
        <v>63</v>
      </c>
      <c r="N22" s="8" t="s">
        <v>67</v>
      </c>
      <c r="O22" s="8" t="s">
        <v>63</v>
      </c>
      <c r="P22" s="8" t="s">
        <v>63</v>
      </c>
      <c r="Q22" s="8" t="s">
        <v>66</v>
      </c>
      <c r="R22" s="8" t="s">
        <v>63</v>
      </c>
      <c r="S22" s="8" t="s">
        <v>63</v>
      </c>
      <c r="T22" s="8"/>
      <c r="U22" s="8"/>
      <c r="V22" s="8"/>
      <c r="W22" s="8"/>
      <c r="X22" s="8" t="s">
        <v>65</v>
      </c>
    </row>
    <row r="23" spans="1:24">
      <c r="A23" s="35" t="s">
        <v>32</v>
      </c>
      <c r="B23" s="5">
        <v>42167</v>
      </c>
      <c r="C23" s="31" t="s">
        <v>28</v>
      </c>
      <c r="D23" s="35" t="s">
        <v>43</v>
      </c>
      <c r="E23" s="35"/>
      <c r="F23" s="7">
        <v>0.85416666666666663</v>
      </c>
      <c r="G23" s="35" t="s">
        <v>57</v>
      </c>
      <c r="H23" s="24" t="s">
        <v>35</v>
      </c>
      <c r="I23" s="8"/>
      <c r="J23" s="8" t="s">
        <v>64</v>
      </c>
      <c r="K23" s="8"/>
      <c r="L23" s="8" t="s">
        <v>64</v>
      </c>
      <c r="M23" s="8" t="s">
        <v>64</v>
      </c>
      <c r="N23" s="8" t="s">
        <v>64</v>
      </c>
      <c r="O23" s="8" t="s">
        <v>64</v>
      </c>
      <c r="P23" s="8" t="s">
        <v>64</v>
      </c>
      <c r="Q23" s="8" t="s">
        <v>64</v>
      </c>
      <c r="R23" s="8" t="s">
        <v>64</v>
      </c>
      <c r="S23" s="53" t="s">
        <v>62</v>
      </c>
      <c r="T23" s="8"/>
      <c r="U23" s="8"/>
      <c r="V23" s="8"/>
      <c r="W23" s="8"/>
      <c r="X23" s="8" t="s">
        <v>64</v>
      </c>
    </row>
    <row r="24" spans="1:24">
      <c r="A24" s="35" t="s">
        <v>32</v>
      </c>
      <c r="B24" s="5">
        <v>42167</v>
      </c>
      <c r="C24" s="31" t="s">
        <v>52</v>
      </c>
      <c r="D24" s="35" t="s">
        <v>49</v>
      </c>
      <c r="E24" s="35"/>
      <c r="F24" s="7">
        <v>0.8125</v>
      </c>
      <c r="G24" s="36" t="s">
        <v>53</v>
      </c>
      <c r="H24" s="24" t="s">
        <v>35</v>
      </c>
      <c r="I24" s="8"/>
      <c r="J24" s="8" t="s">
        <v>64</v>
      </c>
      <c r="K24" s="8"/>
      <c r="L24" s="8" t="s">
        <v>64</v>
      </c>
      <c r="M24" s="52" t="s">
        <v>62</v>
      </c>
      <c r="N24" s="8" t="s">
        <v>64</v>
      </c>
      <c r="O24" s="8" t="s">
        <v>64</v>
      </c>
      <c r="P24" s="8" t="s">
        <v>64</v>
      </c>
      <c r="Q24" s="8" t="s">
        <v>64</v>
      </c>
      <c r="R24" s="8" t="s">
        <v>64</v>
      </c>
      <c r="S24" s="8" t="s">
        <v>64</v>
      </c>
      <c r="T24" s="8"/>
      <c r="U24" s="8"/>
      <c r="V24" s="8"/>
      <c r="W24" s="8"/>
      <c r="X24" s="8" t="s">
        <v>64</v>
      </c>
    </row>
    <row r="25" spans="1:24">
      <c r="A25" s="35" t="s">
        <v>30</v>
      </c>
      <c r="B25" s="5">
        <v>42168</v>
      </c>
      <c r="C25" s="6" t="s">
        <v>31</v>
      </c>
      <c r="D25" s="4" t="s">
        <v>44</v>
      </c>
      <c r="E25" s="4"/>
      <c r="F25" s="7">
        <v>0.58333333333333337</v>
      </c>
      <c r="G25" s="4" t="s">
        <v>51</v>
      </c>
      <c r="H25" s="24" t="s">
        <v>36</v>
      </c>
      <c r="I25" s="8"/>
      <c r="J25" s="8" t="s">
        <v>63</v>
      </c>
      <c r="K25" s="8"/>
      <c r="L25" s="2" t="s">
        <v>63</v>
      </c>
      <c r="M25" s="8"/>
      <c r="N25" s="2" t="s">
        <v>63</v>
      </c>
      <c r="O25" s="8" t="s">
        <v>67</v>
      </c>
      <c r="P25" s="2" t="s">
        <v>63</v>
      </c>
      <c r="Q25" s="2" t="s">
        <v>63</v>
      </c>
      <c r="R25" s="8" t="s">
        <v>65</v>
      </c>
      <c r="S25" s="8" t="s">
        <v>63</v>
      </c>
      <c r="T25" s="2"/>
      <c r="U25" s="8" t="s">
        <v>63</v>
      </c>
      <c r="V25" s="2" t="s">
        <v>68</v>
      </c>
      <c r="W25" s="2"/>
      <c r="X25" s="8" t="s">
        <v>66</v>
      </c>
    </row>
    <row r="26" spans="1:24">
      <c r="A26" s="35" t="s">
        <v>30</v>
      </c>
      <c r="B26" s="5">
        <v>42168</v>
      </c>
      <c r="C26" s="31" t="s">
        <v>31</v>
      </c>
      <c r="D26" s="35" t="s">
        <v>46</v>
      </c>
      <c r="E26" s="35"/>
      <c r="F26" s="34">
        <v>0.83333333333333337</v>
      </c>
      <c r="G26" s="35" t="s">
        <v>51</v>
      </c>
      <c r="H26" s="24" t="s">
        <v>36</v>
      </c>
      <c r="I26" s="8"/>
      <c r="J26" s="8" t="s">
        <v>63</v>
      </c>
      <c r="K26" s="8"/>
      <c r="L26" s="2" t="s">
        <v>63</v>
      </c>
      <c r="M26" s="8" t="s">
        <v>63</v>
      </c>
      <c r="N26" s="8"/>
      <c r="O26" s="8" t="s">
        <v>67</v>
      </c>
      <c r="P26" s="8" t="s">
        <v>63</v>
      </c>
      <c r="Q26" s="2"/>
      <c r="R26" s="2" t="s">
        <v>65</v>
      </c>
      <c r="S26" s="8" t="s">
        <v>63</v>
      </c>
      <c r="T26" s="2"/>
      <c r="U26" s="8"/>
      <c r="V26" s="2" t="s">
        <v>68</v>
      </c>
      <c r="W26" s="2"/>
      <c r="X26" s="2" t="s">
        <v>66</v>
      </c>
    </row>
    <row r="27" spans="1:24">
      <c r="A27" s="35" t="s">
        <v>30</v>
      </c>
      <c r="B27" s="5">
        <v>42168</v>
      </c>
      <c r="C27" s="31" t="s">
        <v>28</v>
      </c>
      <c r="D27" s="35" t="s">
        <v>43</v>
      </c>
      <c r="E27" s="35"/>
      <c r="F27" s="7">
        <v>0.85416666666666663</v>
      </c>
      <c r="G27" s="35" t="s">
        <v>57</v>
      </c>
      <c r="H27" s="24" t="s">
        <v>35</v>
      </c>
      <c r="I27" s="8"/>
      <c r="J27" s="8" t="s">
        <v>64</v>
      </c>
      <c r="K27" s="8"/>
      <c r="L27" s="2" t="s">
        <v>64</v>
      </c>
      <c r="M27" s="8" t="s">
        <v>64</v>
      </c>
      <c r="N27" s="8"/>
      <c r="O27" s="8" t="s">
        <v>64</v>
      </c>
      <c r="P27" s="8" t="s">
        <v>64</v>
      </c>
      <c r="Q27" s="2"/>
      <c r="R27" s="2" t="s">
        <v>64</v>
      </c>
      <c r="S27" s="53" t="s">
        <v>62</v>
      </c>
      <c r="T27" s="2"/>
      <c r="U27" s="2"/>
      <c r="V27" s="2" t="s">
        <v>64</v>
      </c>
      <c r="W27" s="2"/>
      <c r="X27" s="2" t="s">
        <v>64</v>
      </c>
    </row>
    <row r="28" spans="1:24">
      <c r="A28" s="35" t="s">
        <v>30</v>
      </c>
      <c r="B28" s="5">
        <v>42168</v>
      </c>
      <c r="C28" s="31" t="s">
        <v>52</v>
      </c>
      <c r="D28" s="35" t="s">
        <v>43</v>
      </c>
      <c r="E28" s="35"/>
      <c r="F28" s="7">
        <v>0.8125</v>
      </c>
      <c r="G28" s="35" t="s">
        <v>53</v>
      </c>
      <c r="H28" s="24" t="s">
        <v>35</v>
      </c>
      <c r="I28" s="8"/>
      <c r="J28" s="8" t="s">
        <v>64</v>
      </c>
      <c r="K28" s="8"/>
      <c r="L28" s="2" t="s">
        <v>64</v>
      </c>
      <c r="M28" s="52" t="s">
        <v>62</v>
      </c>
      <c r="N28" s="8"/>
      <c r="O28" s="8" t="s">
        <v>64</v>
      </c>
      <c r="P28" s="8" t="s">
        <v>64</v>
      </c>
      <c r="Q28" s="2"/>
      <c r="R28" s="2" t="s">
        <v>64</v>
      </c>
      <c r="S28" s="8" t="s">
        <v>64</v>
      </c>
      <c r="T28" s="2"/>
      <c r="U28" s="2"/>
      <c r="V28" s="2" t="s">
        <v>64</v>
      </c>
      <c r="W28" s="2"/>
      <c r="X28" s="2" t="s">
        <v>64</v>
      </c>
    </row>
    <row r="29" spans="1:24">
      <c r="A29" s="35" t="s">
        <v>29</v>
      </c>
      <c r="B29" s="5">
        <v>42169</v>
      </c>
      <c r="C29" s="31" t="s">
        <v>31</v>
      </c>
      <c r="D29" s="35" t="s">
        <v>44</v>
      </c>
      <c r="E29" s="35"/>
      <c r="F29" s="7">
        <v>0.54166666666666663</v>
      </c>
      <c r="G29" s="35" t="s">
        <v>51</v>
      </c>
      <c r="H29" s="24" t="s">
        <v>36</v>
      </c>
      <c r="I29" s="8"/>
      <c r="J29" s="8" t="s">
        <v>68</v>
      </c>
      <c r="K29" s="8"/>
      <c r="L29" s="2" t="s">
        <v>66</v>
      </c>
      <c r="M29" s="8" t="s">
        <v>63</v>
      </c>
      <c r="N29" s="8" t="s">
        <v>63</v>
      </c>
      <c r="O29" s="8" t="s">
        <v>63</v>
      </c>
      <c r="P29" s="2" t="s">
        <v>65</v>
      </c>
      <c r="Q29" s="2"/>
      <c r="R29" s="2"/>
      <c r="S29" s="8" t="s">
        <v>67</v>
      </c>
      <c r="T29" s="2"/>
      <c r="U29" s="2" t="s">
        <v>63</v>
      </c>
      <c r="V29" s="2"/>
      <c r="W29" s="2"/>
      <c r="X29" s="2"/>
    </row>
    <row r="30" spans="1:24">
      <c r="A30" s="35" t="s">
        <v>29</v>
      </c>
      <c r="B30" s="5">
        <v>42169</v>
      </c>
      <c r="C30" s="31" t="s">
        <v>31</v>
      </c>
      <c r="D30" s="35" t="s">
        <v>44</v>
      </c>
      <c r="E30" s="35"/>
      <c r="F30" s="7">
        <v>0.77083333333333337</v>
      </c>
      <c r="G30" s="35" t="s">
        <v>51</v>
      </c>
      <c r="H30" s="24" t="s">
        <v>36</v>
      </c>
      <c r="I30" s="8"/>
      <c r="J30" s="8" t="s">
        <v>68</v>
      </c>
      <c r="K30" s="8"/>
      <c r="L30" s="2" t="s">
        <v>66</v>
      </c>
      <c r="M30" s="8" t="s">
        <v>63</v>
      </c>
      <c r="N30" s="2"/>
      <c r="O30" s="8" t="s">
        <v>63</v>
      </c>
      <c r="P30" s="8" t="s">
        <v>65</v>
      </c>
      <c r="Q30" s="8" t="s">
        <v>63</v>
      </c>
      <c r="R30" s="2"/>
      <c r="S30" s="8" t="s">
        <v>67</v>
      </c>
      <c r="T30" s="2"/>
      <c r="U30" s="2" t="s">
        <v>64</v>
      </c>
      <c r="V30" s="2"/>
      <c r="W30" s="2"/>
      <c r="X30" s="2"/>
    </row>
    <row r="31" spans="1:24">
      <c r="A31" s="35" t="s">
        <v>32</v>
      </c>
      <c r="B31" s="5">
        <v>42174</v>
      </c>
      <c r="C31" s="6" t="s">
        <v>28</v>
      </c>
      <c r="D31" s="4" t="s">
        <v>49</v>
      </c>
      <c r="E31" s="4"/>
      <c r="F31" s="7">
        <v>0.83333333333333337</v>
      </c>
      <c r="G31" s="4" t="s">
        <v>58</v>
      </c>
      <c r="H31" s="24" t="s">
        <v>35</v>
      </c>
      <c r="I31" s="8" t="s">
        <v>63</v>
      </c>
      <c r="J31" s="8" t="s">
        <v>63</v>
      </c>
      <c r="K31" s="8"/>
      <c r="L31" s="2" t="s">
        <v>63</v>
      </c>
      <c r="M31" s="53" t="s">
        <v>62</v>
      </c>
      <c r="N31" s="2" t="s">
        <v>63</v>
      </c>
      <c r="O31" s="8" t="s">
        <v>63</v>
      </c>
      <c r="P31" s="8" t="s">
        <v>63</v>
      </c>
      <c r="Q31" s="8"/>
      <c r="R31" s="2"/>
      <c r="S31" s="8" t="s">
        <v>63</v>
      </c>
      <c r="T31" s="2"/>
      <c r="U31" s="2"/>
      <c r="V31" s="2"/>
      <c r="W31" s="2"/>
      <c r="X31" s="2" t="s">
        <v>63</v>
      </c>
    </row>
    <row r="32" spans="1:24">
      <c r="A32" s="35" t="s">
        <v>30</v>
      </c>
      <c r="B32" s="5">
        <v>42182</v>
      </c>
      <c r="C32" s="31" t="s">
        <v>28</v>
      </c>
      <c r="D32" s="35" t="s">
        <v>44</v>
      </c>
      <c r="E32" s="35"/>
      <c r="F32" s="7">
        <v>0.79166666666666663</v>
      </c>
      <c r="G32" s="35" t="s">
        <v>59</v>
      </c>
      <c r="H32" s="24" t="s">
        <v>35</v>
      </c>
      <c r="I32" s="8"/>
      <c r="J32" s="8" t="s">
        <v>63</v>
      </c>
      <c r="K32" s="8"/>
      <c r="L32" s="2"/>
      <c r="M32" s="8" t="s">
        <v>63</v>
      </c>
      <c r="N32" s="2"/>
      <c r="O32" s="8"/>
      <c r="P32" s="2" t="s">
        <v>63</v>
      </c>
      <c r="Q32" s="8"/>
      <c r="R32" s="53" t="s">
        <v>62</v>
      </c>
      <c r="S32" s="8" t="s">
        <v>63</v>
      </c>
      <c r="T32" s="2"/>
      <c r="U32" s="2"/>
      <c r="V32" s="2" t="s">
        <v>63</v>
      </c>
      <c r="W32" s="2"/>
      <c r="X32" s="2"/>
    </row>
    <row r="33" spans="1:24">
      <c r="A33" s="35" t="s">
        <v>29</v>
      </c>
      <c r="B33" s="45">
        <v>42183</v>
      </c>
      <c r="C33" s="49" t="s">
        <v>28</v>
      </c>
      <c r="D33" s="50" t="s">
        <v>46</v>
      </c>
      <c r="E33" s="50"/>
      <c r="F33" s="48">
        <v>2</v>
      </c>
      <c r="G33" s="35" t="s">
        <v>59</v>
      </c>
      <c r="H33" s="24" t="s">
        <v>35</v>
      </c>
      <c r="I33" s="8"/>
      <c r="J33" s="8"/>
      <c r="K33" s="8"/>
      <c r="L33" s="2" t="s">
        <v>63</v>
      </c>
      <c r="M33" s="8" t="s">
        <v>63</v>
      </c>
      <c r="N33" s="2"/>
      <c r="O33" s="8"/>
      <c r="P33" s="53" t="s">
        <v>62</v>
      </c>
      <c r="Q33" s="8"/>
      <c r="R33" s="2" t="s">
        <v>63</v>
      </c>
      <c r="S33" s="8" t="s">
        <v>63</v>
      </c>
      <c r="T33" s="2"/>
      <c r="U33" s="2"/>
      <c r="V33" s="2" t="s">
        <v>63</v>
      </c>
      <c r="W33" s="2"/>
      <c r="X33" s="2"/>
    </row>
    <row r="34" spans="1:24">
      <c r="A34" s="35" t="s">
        <v>27</v>
      </c>
      <c r="B34" s="5">
        <v>42185</v>
      </c>
      <c r="C34" s="31" t="s">
        <v>31</v>
      </c>
      <c r="D34" s="35" t="s">
        <v>44</v>
      </c>
      <c r="E34" s="35"/>
      <c r="F34" s="7">
        <v>0.85416666666666663</v>
      </c>
      <c r="G34" s="35" t="s">
        <v>60</v>
      </c>
      <c r="H34" s="24" t="s">
        <v>35</v>
      </c>
      <c r="I34" s="8" t="s">
        <v>66</v>
      </c>
      <c r="J34" s="8"/>
      <c r="K34" s="8"/>
      <c r="L34" s="2" t="s">
        <v>65</v>
      </c>
      <c r="M34" s="8" t="s">
        <v>67</v>
      </c>
      <c r="N34" s="2" t="s">
        <v>63</v>
      </c>
      <c r="O34" s="8" t="s">
        <v>26</v>
      </c>
      <c r="P34" s="2" t="s">
        <v>68</v>
      </c>
      <c r="Q34" s="2"/>
      <c r="R34" s="2" t="s">
        <v>63</v>
      </c>
      <c r="S34" s="8" t="s">
        <v>63</v>
      </c>
      <c r="T34" s="2" t="s">
        <v>63</v>
      </c>
      <c r="U34" s="24"/>
      <c r="V34" s="2"/>
      <c r="W34" s="2"/>
      <c r="X34" s="2" t="s">
        <v>63</v>
      </c>
    </row>
    <row r="35" spans="1:24">
      <c r="S35" s="8"/>
      <c r="T35" s="2"/>
      <c r="U35" s="2"/>
      <c r="V35" s="2"/>
      <c r="W35" s="2"/>
      <c r="X35" s="2"/>
    </row>
    <row r="36" spans="1:24">
      <c r="A36" s="35"/>
      <c r="B36" s="5"/>
      <c r="C36" s="31"/>
      <c r="D36" s="35"/>
      <c r="E36" s="35"/>
      <c r="F36" s="7"/>
      <c r="G36" s="4"/>
      <c r="I36" s="8"/>
      <c r="J36" s="8"/>
      <c r="K36" s="8"/>
      <c r="L36" s="2"/>
      <c r="M36" s="8"/>
      <c r="N36" s="2"/>
      <c r="O36" s="8"/>
      <c r="P36" s="2"/>
      <c r="Q36" s="2"/>
      <c r="R36" s="2"/>
      <c r="S36" s="8"/>
      <c r="T36" s="2"/>
      <c r="U36" s="2"/>
      <c r="V36" s="2"/>
      <c r="W36" s="2"/>
      <c r="X36" s="2"/>
    </row>
    <row r="37" spans="1:24">
      <c r="A37" s="35"/>
      <c r="B37" s="5"/>
      <c r="C37" s="6"/>
      <c r="D37" s="4"/>
      <c r="E37" s="4"/>
      <c r="F37" s="2"/>
      <c r="G37" s="4"/>
      <c r="I37" s="8"/>
      <c r="J37" s="8"/>
      <c r="K37" s="8"/>
      <c r="L37" s="2"/>
      <c r="M37" s="8"/>
      <c r="N37" s="2"/>
      <c r="O37" s="8"/>
      <c r="P37" s="2"/>
      <c r="Q37" s="2"/>
      <c r="R37" s="2"/>
      <c r="S37" s="8"/>
      <c r="T37" s="2"/>
      <c r="U37" s="2"/>
      <c r="V37" s="2"/>
      <c r="W37" s="2"/>
      <c r="X37" s="2"/>
    </row>
    <row r="38" spans="1:24">
      <c r="A38" s="35"/>
      <c r="B38" s="5"/>
      <c r="C38" s="44"/>
      <c r="D38" s="36"/>
      <c r="E38" s="36"/>
      <c r="F38" s="34"/>
      <c r="G38" s="9"/>
      <c r="I38" s="8"/>
      <c r="J38" s="8"/>
      <c r="K38" s="8"/>
      <c r="L38" s="2"/>
      <c r="M38" s="8"/>
      <c r="N38" s="2"/>
      <c r="O38" s="8"/>
      <c r="P38" s="2"/>
      <c r="Q38" s="2"/>
      <c r="R38" s="2"/>
      <c r="S38" s="8"/>
      <c r="T38" s="2"/>
      <c r="U38" s="2"/>
      <c r="V38" s="2"/>
      <c r="W38" s="2"/>
      <c r="X38" s="2"/>
    </row>
    <row r="39" spans="1:24">
      <c r="A39" s="35"/>
      <c r="B39" s="5"/>
      <c r="C39" s="30"/>
      <c r="D39" s="9"/>
      <c r="E39" s="9"/>
      <c r="F39" s="34"/>
      <c r="G39" s="9"/>
      <c r="I39" s="8"/>
      <c r="J39" s="8"/>
      <c r="K39" s="8"/>
      <c r="L39" s="2"/>
      <c r="M39" s="8"/>
      <c r="N39" s="2"/>
      <c r="O39" s="8"/>
      <c r="P39" s="2"/>
      <c r="Q39" s="2"/>
      <c r="R39" s="2"/>
      <c r="S39" s="8"/>
      <c r="T39" s="2"/>
      <c r="U39" s="2"/>
      <c r="V39" s="2"/>
      <c r="W39" s="2"/>
      <c r="X39" s="2"/>
    </row>
    <row r="40" spans="1:24">
      <c r="A40" s="35"/>
      <c r="B40" s="5"/>
      <c r="C40" s="30"/>
      <c r="D40" s="9"/>
      <c r="E40" s="9"/>
      <c r="F40" s="34"/>
      <c r="G40" s="9"/>
      <c r="I40" s="8"/>
      <c r="J40" s="8"/>
      <c r="K40" s="8"/>
      <c r="L40" s="2"/>
      <c r="M40" s="8"/>
      <c r="N40" s="2"/>
      <c r="O40" s="8"/>
      <c r="P40" s="2"/>
      <c r="Q40" s="2"/>
      <c r="R40" s="2"/>
      <c r="S40" s="8"/>
      <c r="T40" s="2"/>
      <c r="U40" s="2"/>
      <c r="V40" s="2"/>
      <c r="W40" s="2"/>
      <c r="X40" s="2"/>
    </row>
    <row r="41" spans="1:24">
      <c r="A41" s="35"/>
      <c r="B41" s="5"/>
      <c r="C41" s="31"/>
      <c r="D41" s="35"/>
      <c r="E41" s="35"/>
      <c r="F41" s="7"/>
      <c r="G41" s="35"/>
      <c r="I41" s="8"/>
      <c r="J41" s="8"/>
      <c r="K41" s="8"/>
      <c r="L41" s="2"/>
      <c r="M41" s="8"/>
      <c r="N41" s="2"/>
      <c r="O41" s="8"/>
      <c r="P41" s="2"/>
      <c r="Q41" s="2"/>
      <c r="R41" s="2"/>
      <c r="S41" s="8"/>
      <c r="T41" s="2"/>
      <c r="U41" s="2"/>
      <c r="V41" s="2"/>
      <c r="W41" s="2"/>
      <c r="X41" s="2"/>
    </row>
    <row r="42" spans="1:24">
      <c r="A42" s="4"/>
      <c r="B42" s="5"/>
      <c r="C42" s="6"/>
      <c r="F42" s="7"/>
      <c r="G42" s="4"/>
      <c r="H42" s="37"/>
      <c r="I42" s="8"/>
      <c r="J42" s="8"/>
      <c r="K42" s="8"/>
      <c r="L42" s="2"/>
      <c r="M42" s="8"/>
      <c r="N42" s="2"/>
      <c r="O42" s="8"/>
      <c r="P42" s="2"/>
      <c r="Q42" s="2"/>
      <c r="R42" s="2"/>
      <c r="S42" s="8"/>
      <c r="T42" s="2"/>
      <c r="U42" s="2"/>
      <c r="V42" s="2"/>
      <c r="W42" s="2"/>
      <c r="X42" s="2"/>
    </row>
    <row r="43" spans="1:24">
      <c r="A43" s="4"/>
      <c r="B43" s="5"/>
      <c r="C43" s="6"/>
      <c r="F43" s="7"/>
      <c r="G43" s="4"/>
      <c r="H43" s="37"/>
      <c r="I43" s="8"/>
      <c r="J43" s="8"/>
      <c r="K43" s="8"/>
      <c r="L43" s="2"/>
      <c r="M43" s="8"/>
      <c r="N43" s="2"/>
      <c r="O43" s="8"/>
      <c r="P43" s="2"/>
      <c r="Q43" s="2"/>
      <c r="R43" s="2"/>
      <c r="S43" s="8"/>
      <c r="T43" s="2"/>
      <c r="U43" s="2"/>
      <c r="V43" s="2"/>
      <c r="W43" s="2"/>
      <c r="X43" s="2"/>
    </row>
    <row r="44" spans="1:24">
      <c r="A44" s="4"/>
      <c r="B44" s="5"/>
      <c r="C44" s="6"/>
      <c r="F44" s="7"/>
      <c r="G44" s="4"/>
      <c r="H44" s="37"/>
      <c r="I44" s="8"/>
      <c r="J44" s="8"/>
      <c r="K44" s="8"/>
      <c r="L44" s="2"/>
      <c r="M44" s="8"/>
      <c r="N44" s="2"/>
      <c r="O44" s="8"/>
      <c r="P44" s="2"/>
      <c r="Q44" s="2"/>
      <c r="R44" s="2"/>
      <c r="S44" s="8"/>
      <c r="T44" s="2"/>
      <c r="U44" s="2"/>
      <c r="V44" s="2"/>
      <c r="W44" s="2"/>
      <c r="X44" s="2"/>
    </row>
    <row r="45" spans="1:24">
      <c r="A45" s="4"/>
      <c r="B45" s="5"/>
      <c r="C45" s="6"/>
      <c r="F45" s="7"/>
      <c r="G45" s="4"/>
      <c r="H45" s="37"/>
      <c r="I45" s="8"/>
      <c r="J45" s="8"/>
      <c r="K45" s="8"/>
      <c r="L45" s="2"/>
      <c r="M45" s="8"/>
      <c r="N45" s="2"/>
      <c r="O45" s="8"/>
      <c r="P45" s="2"/>
      <c r="Q45" s="2"/>
      <c r="R45" s="2"/>
      <c r="S45" s="8"/>
      <c r="T45" s="2"/>
      <c r="U45" s="2"/>
      <c r="V45" s="2"/>
      <c r="W45" s="2"/>
      <c r="X45" s="2"/>
    </row>
    <row r="46" spans="1:24">
      <c r="A46" s="4"/>
      <c r="B46" s="5"/>
      <c r="C46" s="6"/>
      <c r="F46" s="7"/>
      <c r="G46" s="4"/>
      <c r="H46" s="37"/>
      <c r="I46" s="8"/>
      <c r="J46" s="8"/>
      <c r="K46" s="8"/>
      <c r="L46" s="2"/>
      <c r="M46" s="8"/>
      <c r="N46" s="2"/>
      <c r="O46" s="8"/>
      <c r="P46" s="2"/>
      <c r="Q46" s="2"/>
      <c r="R46" s="2"/>
      <c r="S46" s="8"/>
      <c r="T46" s="2"/>
      <c r="U46" s="2"/>
      <c r="V46" s="2"/>
      <c r="W46" s="2"/>
      <c r="X46" s="2"/>
    </row>
    <row r="47" spans="1:24">
      <c r="A47" s="4"/>
      <c r="B47" s="5"/>
      <c r="C47" s="6"/>
      <c r="F47" s="7"/>
      <c r="G47" s="4"/>
      <c r="H47" s="37"/>
      <c r="I47" s="8"/>
      <c r="J47" s="8"/>
      <c r="K47" s="8"/>
      <c r="L47" s="2"/>
      <c r="M47" s="8"/>
      <c r="N47" s="2"/>
      <c r="O47" s="8"/>
      <c r="P47" s="2"/>
      <c r="Q47" s="8"/>
      <c r="R47" s="2"/>
      <c r="S47" s="8"/>
      <c r="T47" s="2"/>
      <c r="U47" s="2"/>
      <c r="V47" s="2"/>
      <c r="W47" s="2"/>
      <c r="X47" s="2"/>
    </row>
    <row r="48" spans="1:24">
      <c r="A48" s="4"/>
      <c r="B48" s="5"/>
      <c r="C48" s="6"/>
      <c r="F48" s="7"/>
      <c r="G48" s="4"/>
      <c r="H48" s="37"/>
      <c r="I48" s="8"/>
      <c r="J48" s="8"/>
      <c r="K48" s="8"/>
      <c r="L48" s="2"/>
      <c r="M48" s="8"/>
      <c r="N48" s="2"/>
      <c r="O48" s="8"/>
      <c r="P48" s="2"/>
      <c r="Q48" s="8"/>
      <c r="R48" s="2"/>
      <c r="S48" s="8"/>
      <c r="T48" s="2"/>
      <c r="U48" s="8"/>
      <c r="V48" s="2"/>
      <c r="W48" s="2"/>
      <c r="X48" s="2"/>
    </row>
    <row r="49" spans="1:24">
      <c r="A49" s="4"/>
      <c r="B49" s="5"/>
      <c r="C49" s="31"/>
      <c r="F49" s="7"/>
      <c r="G49" s="35"/>
      <c r="H49" s="37"/>
      <c r="I49" s="8"/>
      <c r="J49" s="8"/>
      <c r="K49" s="8"/>
      <c r="L49" s="2"/>
      <c r="M49" s="8"/>
      <c r="N49" s="2"/>
      <c r="O49" s="8"/>
      <c r="P49" s="2"/>
      <c r="Q49" s="8"/>
      <c r="R49" s="2"/>
      <c r="S49" s="8"/>
      <c r="T49" s="2"/>
      <c r="U49" s="8"/>
      <c r="V49" s="2"/>
      <c r="W49" s="2"/>
      <c r="X49" s="2"/>
    </row>
    <row r="50" spans="1:24">
      <c r="A50" s="4"/>
      <c r="B50" s="5"/>
      <c r="C50" s="30"/>
      <c r="F50" s="34"/>
      <c r="G50" s="9"/>
      <c r="H50" s="37"/>
      <c r="I50" s="8"/>
      <c r="J50" s="8"/>
      <c r="K50" s="8"/>
      <c r="L50" s="2"/>
      <c r="M50" s="8"/>
      <c r="N50" s="2"/>
      <c r="O50" s="8"/>
      <c r="P50" s="2"/>
      <c r="Q50" s="2"/>
      <c r="R50" s="2"/>
      <c r="S50" s="8"/>
      <c r="T50" s="2"/>
      <c r="U50" s="8"/>
      <c r="V50" s="2"/>
      <c r="W50" s="2"/>
      <c r="X50" s="2"/>
    </row>
    <row r="51" spans="1:24">
      <c r="A51" s="4"/>
      <c r="B51" s="5"/>
      <c r="C51" s="6"/>
      <c r="D51" s="4"/>
      <c r="E51" s="2"/>
      <c r="F51" s="7"/>
      <c r="G51" s="4"/>
      <c r="H51" s="37"/>
      <c r="I51" s="8"/>
      <c r="J51" s="8"/>
      <c r="K51" s="8"/>
      <c r="L51" s="2"/>
      <c r="M51" s="8"/>
      <c r="N51" s="2"/>
      <c r="O51" s="8"/>
      <c r="P51" s="2"/>
      <c r="Q51" s="2"/>
      <c r="R51" s="2"/>
      <c r="S51" s="8"/>
      <c r="T51" s="2"/>
      <c r="U51" s="8"/>
      <c r="V51" s="2"/>
      <c r="W51" s="2"/>
      <c r="X51" s="2"/>
    </row>
    <row r="52" spans="1:24">
      <c r="A52" s="4"/>
      <c r="B52" s="5"/>
      <c r="C52" s="32"/>
      <c r="D52" s="4"/>
      <c r="E52" s="2"/>
      <c r="F52" s="34"/>
      <c r="G52" s="36"/>
      <c r="H52" s="38"/>
      <c r="I52" s="8"/>
      <c r="J52" s="8"/>
      <c r="K52" s="8"/>
      <c r="L52" s="2"/>
      <c r="M52" s="8"/>
      <c r="N52" s="2"/>
      <c r="O52" s="8"/>
      <c r="P52" s="2"/>
      <c r="Q52" s="2"/>
      <c r="R52" s="2"/>
      <c r="S52" s="8"/>
      <c r="T52" s="2"/>
      <c r="U52" s="2"/>
      <c r="V52" s="2"/>
      <c r="W52" s="2"/>
      <c r="X52" s="2"/>
    </row>
    <row r="53" spans="1:24">
      <c r="A53" s="4"/>
      <c r="B53" s="5"/>
      <c r="C53" s="6"/>
      <c r="D53" s="4"/>
      <c r="E53" s="2"/>
      <c r="F53" s="7"/>
      <c r="G53" s="4"/>
      <c r="H53" s="21"/>
      <c r="I53" s="8"/>
      <c r="J53" s="8"/>
      <c r="K53" s="8"/>
      <c r="L53" s="8"/>
      <c r="M53" s="8"/>
      <c r="N53" s="2"/>
      <c r="O53" s="8"/>
      <c r="P53" s="2"/>
      <c r="Q53" s="2"/>
      <c r="R53" s="2"/>
      <c r="S53" s="8"/>
      <c r="T53" s="2"/>
      <c r="U53" s="2"/>
      <c r="V53" s="2"/>
      <c r="W53" s="2"/>
      <c r="X53" s="2"/>
    </row>
    <row r="54" spans="1:24">
      <c r="A54" s="4"/>
      <c r="B54" s="5"/>
      <c r="C54" s="6"/>
      <c r="D54" s="4"/>
      <c r="E54" s="2"/>
      <c r="F54" s="7"/>
      <c r="G54" s="4"/>
      <c r="H54" s="21"/>
      <c r="I54" s="8"/>
      <c r="J54" s="8"/>
      <c r="K54" s="8"/>
      <c r="L54" s="15"/>
      <c r="M54" s="8"/>
      <c r="N54" s="15"/>
      <c r="O54" s="8"/>
      <c r="P54" s="15"/>
      <c r="Q54" s="15"/>
      <c r="R54" s="15"/>
      <c r="S54" s="8"/>
      <c r="T54" s="15"/>
      <c r="U54" s="15"/>
      <c r="V54" s="15"/>
      <c r="W54" s="15"/>
      <c r="X54" s="15"/>
    </row>
    <row r="55" spans="1:24">
      <c r="A55" s="4"/>
      <c r="B55" s="5"/>
      <c r="C55" s="6"/>
      <c r="D55" s="4"/>
      <c r="E55" s="2"/>
      <c r="F55" s="7"/>
      <c r="G55" s="4"/>
      <c r="H55" s="22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</row>
    <row r="56" spans="1:24">
      <c r="A56" s="4"/>
      <c r="B56" s="43"/>
      <c r="C56" s="6"/>
      <c r="F56" s="7"/>
      <c r="G56" s="4"/>
      <c r="H56" s="37"/>
      <c r="I56" s="8"/>
      <c r="J56" s="8"/>
      <c r="K56" s="8"/>
      <c r="L56" s="2"/>
      <c r="M56" s="8"/>
      <c r="N56" s="2"/>
      <c r="O56" s="8"/>
      <c r="P56" s="2"/>
      <c r="Q56" s="2"/>
      <c r="R56" s="2"/>
      <c r="S56" s="8"/>
      <c r="T56" s="2"/>
      <c r="U56" s="2"/>
      <c r="V56" s="2"/>
      <c r="W56" s="2"/>
      <c r="X56" s="2"/>
    </row>
    <row r="57" spans="1:24">
      <c r="A57" s="4"/>
      <c r="B57" s="5"/>
      <c r="C57" s="6"/>
      <c r="D57" s="4"/>
      <c r="E57" s="2"/>
      <c r="F57" s="2"/>
      <c r="G57" s="4"/>
      <c r="I57" s="8"/>
      <c r="J57" s="2"/>
      <c r="K57" s="8"/>
      <c r="L57" s="2"/>
      <c r="M57" s="8"/>
      <c r="N57" s="2"/>
      <c r="O57" s="8"/>
      <c r="P57" s="2"/>
      <c r="Q57" s="2"/>
      <c r="R57" s="2"/>
      <c r="S57" s="8"/>
      <c r="T57" s="2"/>
      <c r="U57" s="2"/>
      <c r="V57" s="2"/>
      <c r="W57" s="2"/>
      <c r="X57" s="2"/>
    </row>
    <row r="58" spans="1:24">
      <c r="A58" s="4"/>
      <c r="B58" s="5"/>
      <c r="C58" s="6"/>
      <c r="D58" s="4"/>
      <c r="E58" s="2"/>
      <c r="F58" s="2"/>
      <c r="G58" s="16"/>
      <c r="H58" s="25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</row>
    <row r="59" spans="1:24">
      <c r="A59" s="4"/>
      <c r="B59" s="5"/>
      <c r="C59" s="6"/>
      <c r="F59" s="2"/>
      <c r="G59" s="4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</row>
    <row r="60" spans="1:24">
      <c r="A60" s="4"/>
      <c r="B60" s="5"/>
      <c r="C60" s="6"/>
      <c r="F60" s="2"/>
      <c r="G60" s="4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>
      <c r="A61" s="4"/>
      <c r="B61" s="5"/>
      <c r="C61" s="6"/>
      <c r="F61" s="2"/>
      <c r="G61" s="17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1:24">
      <c r="A62" s="4"/>
      <c r="B62" s="5"/>
      <c r="C62" s="6"/>
      <c r="F62" s="2"/>
      <c r="G62" s="4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</row>
    <row r="63" spans="1:24">
      <c r="A63" s="4"/>
      <c r="B63" s="5"/>
      <c r="C63" s="6"/>
      <c r="F63" s="2"/>
      <c r="G63" s="39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</row>
  </sheetData>
  <autoFilter ref="A1:AB6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Schedule</vt:lpstr>
      <vt:lpstr>Schedule wJK</vt:lpstr>
      <vt:lpstr>Sheet3</vt:lpstr>
      <vt:lpstr>'Schedule wJK'!BR</vt:lpstr>
      <vt:lpstr>BR</vt:lpstr>
    </vt:vector>
  </TitlesOfParts>
  <Company>RR Donnelley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 Donnelley</dc:creator>
  <cp:lastModifiedBy>RR Donnelley</cp:lastModifiedBy>
  <dcterms:created xsi:type="dcterms:W3CDTF">2015-02-09T12:58:32Z</dcterms:created>
  <dcterms:modified xsi:type="dcterms:W3CDTF">2015-08-17T22:18:14Z</dcterms:modified>
</cp:coreProperties>
</file>